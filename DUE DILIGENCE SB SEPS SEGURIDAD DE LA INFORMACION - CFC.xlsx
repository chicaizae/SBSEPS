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dison.chicaiza\Downloads\"/>
    </mc:Choice>
  </mc:AlternateContent>
  <xr:revisionPtr revIDLastSave="0" documentId="13_ncr:1_{F0E1E33C-ACDE-426B-B0C1-E16ACD006693}" xr6:coauthVersionLast="47" xr6:coauthVersionMax="47" xr10:uidLastSave="{00000000-0000-0000-0000-000000000000}"/>
  <bookViews>
    <workbookView xWindow="28680" yWindow="-120" windowWidth="25440" windowHeight="15270" xr2:uid="{00000000-000D-0000-FFFF-FFFF00000000}"/>
  </bookViews>
  <sheets>
    <sheet name="Matriz_DD_Unificada" sheetId="1" r:id="rId1"/>
    <sheet name="Resumen_Ejecutivo" sheetId="2" r:id="rId2"/>
    <sheet name="Guia_de_Uso" sheetId="3" r:id="rId3"/>
    <sheet name="Control_de_Revision" sheetId="4" r:id="rId4"/>
    <sheet name="Fuentes_y_Alcance" sheetId="5" r:id="rId5"/>
    <sheet name="Metricas_DD" sheetId="6" r:id="rId6"/>
    <sheet name="Dashboard_Decision" sheetId="7" r:id="rId7"/>
    <sheet name="Plan_Cumplimiento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0" i="7" l="1"/>
  <c r="A39" i="7"/>
  <c r="A38" i="7"/>
  <c r="A37" i="7"/>
  <c r="A36" i="7"/>
  <c r="A35" i="7"/>
  <c r="A34" i="7"/>
  <c r="A33" i="7"/>
  <c r="A32" i="7"/>
  <c r="A31" i="7"/>
  <c r="H30" i="7"/>
  <c r="A30" i="7"/>
  <c r="H29" i="7"/>
  <c r="A29" i="7"/>
  <c r="H28" i="7"/>
  <c r="A28" i="7"/>
  <c r="H27" i="7"/>
  <c r="A27" i="7"/>
  <c r="H26" i="7"/>
  <c r="A26" i="7"/>
  <c r="H25" i="7"/>
  <c r="A25" i="7"/>
  <c r="H24" i="7"/>
  <c r="A24" i="7"/>
  <c r="H23" i="7"/>
  <c r="A23" i="7"/>
  <c r="H19" i="7"/>
  <c r="A19" i="7"/>
  <c r="H18" i="7"/>
  <c r="A18" i="7"/>
  <c r="H17" i="7"/>
  <c r="A17" i="7"/>
  <c r="H13" i="7"/>
  <c r="H12" i="7"/>
  <c r="H11" i="7"/>
  <c r="H10" i="7"/>
  <c r="H9" i="7"/>
  <c r="H8" i="7"/>
  <c r="B36" i="6"/>
  <c r="B35" i="6"/>
  <c r="B39" i="7" s="1"/>
  <c r="B34" i="6"/>
  <c r="B33" i="6"/>
  <c r="B32" i="6"/>
  <c r="B36" i="7" s="1"/>
  <c r="B31" i="6"/>
  <c r="B35" i="7" s="1"/>
  <c r="B30" i="6"/>
  <c r="B29" i="6"/>
  <c r="B28" i="6"/>
  <c r="B32" i="7" s="1"/>
  <c r="B27" i="6"/>
  <c r="B31" i="7" s="1"/>
  <c r="B26" i="6"/>
  <c r="B30" i="7" s="1"/>
  <c r="B25" i="6"/>
  <c r="B24" i="6"/>
  <c r="B23" i="6"/>
  <c r="B27" i="7" s="1"/>
  <c r="B22" i="6"/>
  <c r="B21" i="6"/>
  <c r="B20" i="6"/>
  <c r="B24" i="7" s="1"/>
  <c r="L19" i="6"/>
  <c r="D23" i="7" s="1"/>
  <c r="B19" i="6"/>
  <c r="B23" i="7" s="1"/>
  <c r="B14" i="6"/>
  <c r="S6" i="6"/>
  <c r="M19" i="7" s="1"/>
  <c r="R6" i="6"/>
  <c r="L19" i="7" s="1"/>
  <c r="Q6" i="6"/>
  <c r="K19" i="7" s="1"/>
  <c r="P6" i="6"/>
  <c r="J19" i="7" s="1"/>
  <c r="O6" i="6"/>
  <c r="I19" i="7" s="1"/>
  <c r="L6" i="6"/>
  <c r="F19" i="7" s="1"/>
  <c r="K6" i="6"/>
  <c r="E19" i="7" s="1"/>
  <c r="H6" i="6"/>
  <c r="B19" i="7" s="1"/>
  <c r="O5" i="6"/>
  <c r="I18" i="7" s="1"/>
  <c r="H5" i="6"/>
  <c r="B18" i="7" s="1"/>
  <c r="O4" i="6"/>
  <c r="I17" i="7" s="1"/>
  <c r="H4" i="6"/>
  <c r="B17" i="7" s="1"/>
  <c r="B4" i="6"/>
  <c r="A4" i="7" s="1"/>
  <c r="E24" i="2"/>
  <c r="E23" i="2"/>
  <c r="E22" i="2"/>
  <c r="E21" i="2"/>
  <c r="E20" i="2"/>
  <c r="E19" i="2"/>
  <c r="E18" i="2"/>
  <c r="B18" i="2"/>
  <c r="E17" i="2"/>
  <c r="B17" i="2"/>
  <c r="E16" i="2"/>
  <c r="B16" i="2"/>
  <c r="E15" i="2"/>
  <c r="E14" i="2"/>
  <c r="E13" i="2"/>
  <c r="B13" i="2"/>
  <c r="E12" i="2"/>
  <c r="E11" i="2"/>
  <c r="E10" i="2"/>
  <c r="E9" i="2"/>
  <c r="E8" i="2"/>
  <c r="E7" i="2"/>
  <c r="B7" i="2"/>
  <c r="K116" i="1"/>
  <c r="X115" i="1"/>
  <c r="W115" i="1"/>
  <c r="V115" i="1"/>
  <c r="K115" i="1"/>
  <c r="T115" i="1" s="1"/>
  <c r="K114" i="1"/>
  <c r="W114" i="1" s="1"/>
  <c r="K113" i="1"/>
  <c r="X113" i="1" s="1"/>
  <c r="K112" i="1"/>
  <c r="X112" i="1" s="1"/>
  <c r="K111" i="1"/>
  <c r="U111" i="1" s="1"/>
  <c r="V110" i="1"/>
  <c r="U110" i="1"/>
  <c r="K110" i="1"/>
  <c r="X110" i="1" s="1"/>
  <c r="K109" i="1"/>
  <c r="V109" i="1" s="1"/>
  <c r="K108" i="1"/>
  <c r="K107" i="1"/>
  <c r="K106" i="1"/>
  <c r="X106" i="1" s="1"/>
  <c r="K105" i="1"/>
  <c r="U105" i="1" s="1"/>
  <c r="W104" i="1"/>
  <c r="K104" i="1"/>
  <c r="X104" i="1" s="1"/>
  <c r="X103" i="1"/>
  <c r="W103" i="1"/>
  <c r="K103" i="1"/>
  <c r="V103" i="1" s="1"/>
  <c r="W102" i="1"/>
  <c r="K102" i="1"/>
  <c r="X101" i="1"/>
  <c r="K101" i="1"/>
  <c r="W101" i="1" s="1"/>
  <c r="K100" i="1"/>
  <c r="U100" i="1" s="1"/>
  <c r="X99" i="1"/>
  <c r="W99" i="1"/>
  <c r="V99" i="1"/>
  <c r="U99" i="1"/>
  <c r="K99" i="1"/>
  <c r="T99" i="1" s="1"/>
  <c r="K98" i="1"/>
  <c r="U98" i="1" s="1"/>
  <c r="W97" i="1"/>
  <c r="K97" i="1"/>
  <c r="V97" i="1" s="1"/>
  <c r="K96" i="1"/>
  <c r="W96" i="1" s="1"/>
  <c r="K95" i="1"/>
  <c r="V95" i="1" s="1"/>
  <c r="K94" i="1"/>
  <c r="W94" i="1" s="1"/>
  <c r="K93" i="1"/>
  <c r="V93" i="1" s="1"/>
  <c r="K92" i="1"/>
  <c r="X91" i="1"/>
  <c r="W91" i="1"/>
  <c r="V91" i="1"/>
  <c r="T91" i="1"/>
  <c r="K91" i="1"/>
  <c r="U91" i="1" s="1"/>
  <c r="K90" i="1"/>
  <c r="X90" i="1" s="1"/>
  <c r="W89" i="1"/>
  <c r="K89" i="1"/>
  <c r="V89" i="1" s="1"/>
  <c r="K88" i="1"/>
  <c r="V88" i="1" s="1"/>
  <c r="K87" i="1"/>
  <c r="W87" i="1" s="1"/>
  <c r="K86" i="1"/>
  <c r="K85" i="1"/>
  <c r="W85" i="1" s="1"/>
  <c r="K84" i="1"/>
  <c r="W83" i="1"/>
  <c r="K83" i="1"/>
  <c r="X83" i="1" s="1"/>
  <c r="X82" i="1"/>
  <c r="W82" i="1"/>
  <c r="V82" i="1"/>
  <c r="U82" i="1"/>
  <c r="T82" i="1"/>
  <c r="K82" i="1"/>
  <c r="K81" i="1"/>
  <c r="U81" i="1" s="1"/>
  <c r="X80" i="1"/>
  <c r="W80" i="1"/>
  <c r="K80" i="1"/>
  <c r="V80" i="1" s="1"/>
  <c r="X79" i="1"/>
  <c r="V79" i="1"/>
  <c r="U79" i="1"/>
  <c r="K79" i="1"/>
  <c r="K78" i="1"/>
  <c r="W78" i="1" s="1"/>
  <c r="K77" i="1"/>
  <c r="U77" i="1" s="1"/>
  <c r="K76" i="1"/>
  <c r="W76" i="1" s="1"/>
  <c r="X75" i="1"/>
  <c r="W75" i="1"/>
  <c r="K75" i="1"/>
  <c r="V75" i="1" s="1"/>
  <c r="K74" i="1"/>
  <c r="V74" i="1" s="1"/>
  <c r="K73" i="1"/>
  <c r="K72" i="1"/>
  <c r="F22" i="6" s="1"/>
  <c r="K71" i="1"/>
  <c r="X71" i="1" s="1"/>
  <c r="K70" i="1"/>
  <c r="T70" i="1" s="1"/>
  <c r="K69" i="1"/>
  <c r="X69" i="1" s="1"/>
  <c r="K68" i="1"/>
  <c r="X68" i="1" s="1"/>
  <c r="K67" i="1"/>
  <c r="V67" i="1" s="1"/>
  <c r="X66" i="1"/>
  <c r="V66" i="1"/>
  <c r="U66" i="1"/>
  <c r="K66" i="1"/>
  <c r="W66" i="1" s="1"/>
  <c r="K65" i="1"/>
  <c r="V65" i="1" s="1"/>
  <c r="K64" i="1"/>
  <c r="V64" i="1" s="1"/>
  <c r="K63" i="1"/>
  <c r="U63" i="1" s="1"/>
  <c r="K62" i="1"/>
  <c r="V61" i="1"/>
  <c r="K61" i="1"/>
  <c r="U61" i="1" s="1"/>
  <c r="K60" i="1"/>
  <c r="V60" i="1" s="1"/>
  <c r="K59" i="1"/>
  <c r="U59" i="1" s="1"/>
  <c r="K58" i="1"/>
  <c r="V58" i="1" s="1"/>
  <c r="K57" i="1"/>
  <c r="V57" i="1" s="1"/>
  <c r="K56" i="1"/>
  <c r="U56" i="1" s="1"/>
  <c r="K55" i="1"/>
  <c r="X55" i="1" s="1"/>
  <c r="K54" i="1"/>
  <c r="X54" i="1" s="1"/>
  <c r="K53" i="1"/>
  <c r="K52" i="1"/>
  <c r="X52" i="1" s="1"/>
  <c r="K51" i="1"/>
  <c r="X51" i="1" s="1"/>
  <c r="K50" i="1"/>
  <c r="W50" i="1" s="1"/>
  <c r="K49" i="1"/>
  <c r="W49" i="1" s="1"/>
  <c r="K48" i="1"/>
  <c r="T48" i="1" s="1"/>
  <c r="K47" i="1"/>
  <c r="X47" i="1" s="1"/>
  <c r="K46" i="1"/>
  <c r="V46" i="1" s="1"/>
  <c r="K45" i="1"/>
  <c r="X45" i="1" s="1"/>
  <c r="K44" i="1"/>
  <c r="K43" i="1"/>
  <c r="U43" i="1" s="1"/>
  <c r="K42" i="1"/>
  <c r="U42" i="1" s="1"/>
  <c r="K41" i="1"/>
  <c r="V41" i="1" s="1"/>
  <c r="K40" i="1"/>
  <c r="X40" i="1" s="1"/>
  <c r="K39" i="1"/>
  <c r="X39" i="1" s="1"/>
  <c r="K38" i="1"/>
  <c r="V38" i="1" s="1"/>
  <c r="K37" i="1"/>
  <c r="K36" i="1"/>
  <c r="X36" i="1" s="1"/>
  <c r="K35" i="1"/>
  <c r="U35" i="1" s="1"/>
  <c r="K34" i="1"/>
  <c r="X34" i="1" s="1"/>
  <c r="W33" i="1"/>
  <c r="V33" i="1"/>
  <c r="U33" i="1"/>
  <c r="T33" i="1"/>
  <c r="K33" i="1"/>
  <c r="X33" i="1" s="1"/>
  <c r="K32" i="1"/>
  <c r="K31" i="1"/>
  <c r="V31" i="1" s="1"/>
  <c r="K30" i="1"/>
  <c r="U30" i="1" s="1"/>
  <c r="K29" i="1"/>
  <c r="X29" i="1" s="1"/>
  <c r="K28" i="1"/>
  <c r="U28" i="1" s="1"/>
  <c r="K27" i="1"/>
  <c r="X27" i="1" s="1"/>
  <c r="X26" i="1"/>
  <c r="W26" i="1"/>
  <c r="V26" i="1"/>
  <c r="U26" i="1"/>
  <c r="T26" i="1"/>
  <c r="K26" i="1"/>
  <c r="K25" i="1"/>
  <c r="X25" i="1" s="1"/>
  <c r="K24" i="1"/>
  <c r="K23" i="1"/>
  <c r="K22" i="1"/>
  <c r="J6" i="6" s="1"/>
  <c r="D19" i="7" s="1"/>
  <c r="K21" i="1"/>
  <c r="U21" i="1" s="1"/>
  <c r="U20" i="1"/>
  <c r="K20" i="1"/>
  <c r="X20" i="1" s="1"/>
  <c r="K19" i="1"/>
  <c r="X19" i="1" s="1"/>
  <c r="K18" i="1"/>
  <c r="V18" i="1" s="1"/>
  <c r="X17" i="1"/>
  <c r="W17" i="1"/>
  <c r="V17" i="1"/>
  <c r="U17" i="1"/>
  <c r="T17" i="1"/>
  <c r="K17" i="1"/>
  <c r="K16" i="1"/>
  <c r="U16" i="1" s="1"/>
  <c r="X15" i="1"/>
  <c r="W15" i="1"/>
  <c r="U15" i="1"/>
  <c r="T15" i="1"/>
  <c r="K15" i="1"/>
  <c r="K14" i="1"/>
  <c r="U14" i="1" s="1"/>
  <c r="T13" i="1"/>
  <c r="K13" i="1"/>
  <c r="X13" i="1" s="1"/>
  <c r="X12" i="1"/>
  <c r="W12" i="1"/>
  <c r="K12" i="1"/>
  <c r="U12" i="1" s="1"/>
  <c r="K11" i="1"/>
  <c r="V11" i="1" s="1"/>
  <c r="K10" i="1"/>
  <c r="K9" i="1"/>
  <c r="V9" i="1" s="1"/>
  <c r="K8" i="1"/>
  <c r="K7" i="1"/>
  <c r="U7" i="1" s="1"/>
  <c r="K6" i="1"/>
  <c r="V6" i="1" s="1"/>
  <c r="K5" i="1"/>
  <c r="T5" i="1" s="1"/>
  <c r="W4" i="1"/>
  <c r="T4" i="1"/>
  <c r="K4" i="1"/>
  <c r="K3" i="1"/>
  <c r="W3" i="1" s="1"/>
  <c r="K2" i="1"/>
  <c r="X2" i="1" s="1"/>
  <c r="U115" i="1" l="1"/>
  <c r="V114" i="1"/>
  <c r="X114" i="1"/>
  <c r="U114" i="1"/>
  <c r="U113" i="1"/>
  <c r="W112" i="1"/>
  <c r="T111" i="1"/>
  <c r="T110" i="1"/>
  <c r="W110" i="1"/>
  <c r="X109" i="1"/>
  <c r="T109" i="1"/>
  <c r="U109" i="1"/>
  <c r="X105" i="1"/>
  <c r="T105" i="1"/>
  <c r="V105" i="1"/>
  <c r="W105" i="1"/>
  <c r="U104" i="1"/>
  <c r="V104" i="1"/>
  <c r="U103" i="1"/>
  <c r="T103" i="1"/>
  <c r="X100" i="1"/>
  <c r="T97" i="1"/>
  <c r="U97" i="1"/>
  <c r="T96" i="1"/>
  <c r="U96" i="1"/>
  <c r="V96" i="1"/>
  <c r="X96" i="1"/>
  <c r="U95" i="1"/>
  <c r="T95" i="1"/>
  <c r="W95" i="1"/>
  <c r="U93" i="1"/>
  <c r="X89" i="1"/>
  <c r="T89" i="1"/>
  <c r="U89" i="1"/>
  <c r="W88" i="1"/>
  <c r="X88" i="1"/>
  <c r="V87" i="1"/>
  <c r="X85" i="1"/>
  <c r="T83" i="1"/>
  <c r="U83" i="1"/>
  <c r="V83" i="1"/>
  <c r="T80" i="1"/>
  <c r="U80" i="1"/>
  <c r="T75" i="1"/>
  <c r="U75" i="1"/>
  <c r="U74" i="1"/>
  <c r="T74" i="1"/>
  <c r="X72" i="1"/>
  <c r="V71" i="1"/>
  <c r="T68" i="1"/>
  <c r="U68" i="1"/>
  <c r="V68" i="1"/>
  <c r="W68" i="1"/>
  <c r="T66" i="1"/>
  <c r="X67" i="1"/>
  <c r="W67" i="1"/>
  <c r="U67" i="1"/>
  <c r="T64" i="1"/>
  <c r="U64" i="1"/>
  <c r="W64" i="1"/>
  <c r="X64" i="1"/>
  <c r="W63" i="1"/>
  <c r="W61" i="1"/>
  <c r="X61" i="1"/>
  <c r="T61" i="1"/>
  <c r="T60" i="1"/>
  <c r="U60" i="1"/>
  <c r="X60" i="1"/>
  <c r="X59" i="1"/>
  <c r="W59" i="1"/>
  <c r="V59" i="1"/>
  <c r="U58" i="1"/>
  <c r="T56" i="1"/>
  <c r="V56" i="1"/>
  <c r="X56" i="1"/>
  <c r="V55" i="1"/>
  <c r="T54" i="1"/>
  <c r="U54" i="1"/>
  <c r="V54" i="1"/>
  <c r="W54" i="1"/>
  <c r="U52" i="1"/>
  <c r="V51" i="1"/>
  <c r="V50" i="1"/>
  <c r="X50" i="1"/>
  <c r="T50" i="1"/>
  <c r="U50" i="1"/>
  <c r="U48" i="1"/>
  <c r="W48" i="1"/>
  <c r="T47" i="1"/>
  <c r="U47" i="1"/>
  <c r="V47" i="1"/>
  <c r="W47" i="1"/>
  <c r="T46" i="1"/>
  <c r="U46" i="1"/>
  <c r="W46" i="1"/>
  <c r="X46" i="1"/>
  <c r="D19" i="6"/>
  <c r="U45" i="1"/>
  <c r="T45" i="1"/>
  <c r="U44" i="1"/>
  <c r="V44" i="1"/>
  <c r="V43" i="1"/>
  <c r="W43" i="1"/>
  <c r="X43" i="1"/>
  <c r="T42" i="1"/>
  <c r="V42" i="1"/>
  <c r="W42" i="1"/>
  <c r="T40" i="1"/>
  <c r="U40" i="1"/>
  <c r="V40" i="1"/>
  <c r="W40" i="1"/>
  <c r="W38" i="1"/>
  <c r="X38" i="1"/>
  <c r="U38" i="1"/>
  <c r="U36" i="1"/>
  <c r="W35" i="1"/>
  <c r="X35" i="1"/>
  <c r="T34" i="1"/>
  <c r="U34" i="1"/>
  <c r="V34" i="1"/>
  <c r="T31" i="1"/>
  <c r="U31" i="1"/>
  <c r="X31" i="1"/>
  <c r="W31" i="1"/>
  <c r="V30" i="1"/>
  <c r="X30" i="1"/>
  <c r="T29" i="1"/>
  <c r="U29" i="1"/>
  <c r="V28" i="1"/>
  <c r="W27" i="1"/>
  <c r="V27" i="1"/>
  <c r="I6" i="6"/>
  <c r="C19" i="7" s="1"/>
  <c r="U22" i="1"/>
  <c r="V22" i="1"/>
  <c r="W22" i="1"/>
  <c r="X22" i="1"/>
  <c r="T21" i="1"/>
  <c r="V21" i="1"/>
  <c r="W19" i="1"/>
  <c r="T19" i="1"/>
  <c r="U19" i="1"/>
  <c r="V19" i="1"/>
  <c r="W18" i="1"/>
  <c r="W14" i="1"/>
  <c r="V14" i="1"/>
  <c r="X14" i="1"/>
  <c r="U13" i="1"/>
  <c r="T12" i="1"/>
  <c r="V12" i="1"/>
  <c r="X11" i="1"/>
  <c r="U11" i="1"/>
  <c r="T11" i="1"/>
  <c r="T7" i="1"/>
  <c r="V7" i="1"/>
  <c r="X7" i="1"/>
  <c r="W6" i="1"/>
  <c r="U6" i="1"/>
  <c r="U5" i="1"/>
  <c r="V5" i="1"/>
  <c r="W5" i="1"/>
  <c r="X5" i="1"/>
  <c r="S5" i="6"/>
  <c r="M18" i="7" s="1"/>
  <c r="X3" i="1"/>
  <c r="V4" i="1"/>
  <c r="E4" i="6"/>
  <c r="I8" i="7" s="1"/>
  <c r="E24" i="6"/>
  <c r="X4" i="1"/>
  <c r="U4" i="1"/>
  <c r="B11" i="2"/>
  <c r="D32" i="6"/>
  <c r="C32" i="6"/>
  <c r="L32" i="6"/>
  <c r="D36" i="7" s="1"/>
  <c r="W23" i="1"/>
  <c r="F32" i="6"/>
  <c r="T23" i="1"/>
  <c r="E32" i="6"/>
  <c r="G32" i="6"/>
  <c r="E36" i="7" s="1"/>
  <c r="X23" i="1"/>
  <c r="U23" i="1"/>
  <c r="V23" i="1"/>
  <c r="L20" i="6"/>
  <c r="D24" i="7" s="1"/>
  <c r="W73" i="1"/>
  <c r="X73" i="1"/>
  <c r="U73" i="1"/>
  <c r="E22" i="6"/>
  <c r="T73" i="1"/>
  <c r="X78" i="1"/>
  <c r="V78" i="1"/>
  <c r="U78" i="1"/>
  <c r="W86" i="1"/>
  <c r="T86" i="1"/>
  <c r="V86" i="1"/>
  <c r="U86" i="1"/>
  <c r="W107" i="1"/>
  <c r="T107" i="1"/>
  <c r="X107" i="1"/>
  <c r="V107" i="1"/>
  <c r="G30" i="6"/>
  <c r="E34" i="7" s="1"/>
  <c r="X24" i="1"/>
  <c r="W24" i="1"/>
  <c r="V24" i="1"/>
  <c r="T24" i="1"/>
  <c r="U24" i="1"/>
  <c r="E34" i="6"/>
  <c r="G36" i="6"/>
  <c r="E40" i="7" s="1"/>
  <c r="V73" i="1"/>
  <c r="T78" i="1"/>
  <c r="X86" i="1"/>
  <c r="U107" i="1"/>
  <c r="P4" i="6"/>
  <c r="J17" i="7" s="1"/>
  <c r="X8" i="1"/>
  <c r="V8" i="1"/>
  <c r="W8" i="1"/>
  <c r="U8" i="1"/>
  <c r="T8" i="1"/>
  <c r="T25" i="1"/>
  <c r="V53" i="1"/>
  <c r="X53" i="1"/>
  <c r="W53" i="1"/>
  <c r="T53" i="1"/>
  <c r="U53" i="1"/>
  <c r="Q4" i="6"/>
  <c r="K17" i="7" s="1"/>
  <c r="W9" i="1"/>
  <c r="T9" i="1"/>
  <c r="X9" i="1"/>
  <c r="U9" i="1"/>
  <c r="L5" i="6"/>
  <c r="F18" i="7" s="1"/>
  <c r="U49" i="1"/>
  <c r="F34" i="6"/>
  <c r="X49" i="1"/>
  <c r="V49" i="1"/>
  <c r="C34" i="6"/>
  <c r="T49" i="1"/>
  <c r="E23" i="6"/>
  <c r="L23" i="6"/>
  <c r="D27" i="7" s="1"/>
  <c r="F23" i="6"/>
  <c r="X92" i="1"/>
  <c r="G23" i="6"/>
  <c r="E27" i="7" s="1"/>
  <c r="W92" i="1"/>
  <c r="D23" i="6"/>
  <c r="C23" i="6"/>
  <c r="V92" i="1"/>
  <c r="T92" i="1"/>
  <c r="U92" i="1"/>
  <c r="V116" i="1"/>
  <c r="U116" i="1"/>
  <c r="X116" i="1"/>
  <c r="T116" i="1"/>
  <c r="W116" i="1"/>
  <c r="C26" i="6"/>
  <c r="L27" i="6"/>
  <c r="D31" i="7" s="1"/>
  <c r="W37" i="1"/>
  <c r="T37" i="1"/>
  <c r="X37" i="1"/>
  <c r="U37" i="1"/>
  <c r="V37" i="1"/>
  <c r="X41" i="1"/>
  <c r="E30" i="6"/>
  <c r="D30" i="6"/>
  <c r="W41" i="1"/>
  <c r="U41" i="1"/>
  <c r="T41" i="1"/>
  <c r="X10" i="1"/>
  <c r="V10" i="1"/>
  <c r="T10" i="1"/>
  <c r="U10" i="1"/>
  <c r="F36" i="6"/>
  <c r="E36" i="6"/>
  <c r="X62" i="1"/>
  <c r="L36" i="6"/>
  <c r="D40" i="7" s="1"/>
  <c r="V62" i="1"/>
  <c r="U62" i="1"/>
  <c r="U70" i="1"/>
  <c r="L28" i="6"/>
  <c r="D32" i="7" s="1"/>
  <c r="W70" i="1"/>
  <c r="V70" i="1"/>
  <c r="B10" i="2"/>
  <c r="T62" i="1"/>
  <c r="W62" i="1"/>
  <c r="X70" i="1"/>
  <c r="X94" i="1"/>
  <c r="V94" i="1"/>
  <c r="U94" i="1"/>
  <c r="D24" i="6"/>
  <c r="T94" i="1"/>
  <c r="V102" i="1"/>
  <c r="E21" i="6"/>
  <c r="X102" i="1"/>
  <c r="U102" i="1"/>
  <c r="T102" i="1"/>
  <c r="B26" i="7"/>
  <c r="V25" i="1"/>
  <c r="W25" i="1"/>
  <c r="U25" i="1"/>
  <c r="W57" i="1"/>
  <c r="X57" i="1"/>
  <c r="U57" i="1"/>
  <c r="T57" i="1"/>
  <c r="X108" i="1"/>
  <c r="W108" i="1"/>
  <c r="V108" i="1"/>
  <c r="T108" i="1"/>
  <c r="U108" i="1"/>
  <c r="G20" i="6"/>
  <c r="E24" i="7" s="1"/>
  <c r="W10" i="1"/>
  <c r="V39" i="1"/>
  <c r="W39" i="1"/>
  <c r="U39" i="1"/>
  <c r="T39" i="1"/>
  <c r="D31" i="6"/>
  <c r="G25" i="6"/>
  <c r="E29" i="7" s="1"/>
  <c r="F25" i="6"/>
  <c r="X76" i="1"/>
  <c r="E25" i="6"/>
  <c r="C25" i="6"/>
  <c r="V76" i="1"/>
  <c r="T76" i="1"/>
  <c r="U76" i="1"/>
  <c r="U84" i="1"/>
  <c r="X84" i="1"/>
  <c r="W84" i="1"/>
  <c r="T84" i="1"/>
  <c r="V84" i="1"/>
  <c r="C22" i="6"/>
  <c r="F29" i="6"/>
  <c r="C29" i="6"/>
  <c r="W65" i="1"/>
  <c r="T65" i="1"/>
  <c r="L35" i="6"/>
  <c r="D39" i="7" s="1"/>
  <c r="G35" i="6"/>
  <c r="E39" i="7" s="1"/>
  <c r="F35" i="6"/>
  <c r="E35" i="6"/>
  <c r="D35" i="6"/>
  <c r="C35" i="6"/>
  <c r="V81" i="1"/>
  <c r="B5" i="6"/>
  <c r="B6" i="6" s="1"/>
  <c r="T20" i="1"/>
  <c r="T28" i="1"/>
  <c r="T36" i="1"/>
  <c r="E19" i="6"/>
  <c r="W44" i="1"/>
  <c r="G19" i="6"/>
  <c r="E23" i="7" s="1"/>
  <c r="T44" i="1"/>
  <c r="F19" i="6"/>
  <c r="T52" i="1"/>
  <c r="U65" i="1"/>
  <c r="F28" i="6"/>
  <c r="T81" i="1"/>
  <c r="L21" i="6"/>
  <c r="D25" i="7" s="1"/>
  <c r="X97" i="1"/>
  <c r="T113" i="1"/>
  <c r="E5" i="6"/>
  <c r="I9" i="7" s="1"/>
  <c r="C19" i="6"/>
  <c r="D28" i="6"/>
  <c r="D11" i="8"/>
  <c r="F24" i="6"/>
  <c r="D5" i="8"/>
  <c r="C24" i="6"/>
  <c r="B13" i="6"/>
  <c r="K4" i="7" s="1"/>
  <c r="I4" i="6"/>
  <c r="C17" i="7" s="1"/>
  <c r="W2" i="1"/>
  <c r="E8" i="6"/>
  <c r="I12" i="7" s="1"/>
  <c r="E6" i="6"/>
  <c r="I10" i="7" s="1"/>
  <c r="S4" i="6"/>
  <c r="M17" i="7" s="1"/>
  <c r="T2" i="1"/>
  <c r="B12" i="2"/>
  <c r="B8" i="6"/>
  <c r="M4" i="7" s="1"/>
  <c r="R4" i="6"/>
  <c r="L17" i="7" s="1"/>
  <c r="V20" i="1"/>
  <c r="V52" i="1"/>
  <c r="I5" i="6"/>
  <c r="C18" i="7" s="1"/>
  <c r="G24" i="6"/>
  <c r="E28" i="7" s="1"/>
  <c r="U2" i="1"/>
  <c r="W7" i="1"/>
  <c r="V15" i="1"/>
  <c r="T18" i="1"/>
  <c r="W20" i="1"/>
  <c r="X28" i="1"/>
  <c r="W36" i="1"/>
  <c r="X44" i="1"/>
  <c r="W52" i="1"/>
  <c r="T55" i="1"/>
  <c r="W60" i="1"/>
  <c r="T63" i="1"/>
  <c r="T71" i="1"/>
  <c r="W79" i="1"/>
  <c r="T79" i="1"/>
  <c r="X81" i="1"/>
  <c r="T87" i="1"/>
  <c r="W113" i="1"/>
  <c r="J5" i="6"/>
  <c r="D18" i="7" s="1"/>
  <c r="L24" i="6"/>
  <c r="D28" i="7" s="1"/>
  <c r="B33" i="7"/>
  <c r="W28" i="1"/>
  <c r="V36" i="1"/>
  <c r="X65" i="1"/>
  <c r="W81" i="1"/>
  <c r="W100" i="1"/>
  <c r="T100" i="1"/>
  <c r="V113" i="1"/>
  <c r="V2" i="1"/>
  <c r="U18" i="1"/>
  <c r="U55" i="1"/>
  <c r="W58" i="1"/>
  <c r="T58" i="1"/>
  <c r="V63" i="1"/>
  <c r="U71" i="1"/>
  <c r="U87" i="1"/>
  <c r="V100" i="1"/>
  <c r="X111" i="1"/>
  <c r="W111" i="1"/>
  <c r="D21" i="6"/>
  <c r="L26" i="6"/>
  <c r="D30" i="7" s="1"/>
  <c r="D29" i="6"/>
  <c r="B7" i="6"/>
  <c r="B10" i="6" s="1"/>
  <c r="E4" i="7" s="1"/>
  <c r="E29" i="6"/>
  <c r="C20" i="6"/>
  <c r="E20" i="6"/>
  <c r="V32" i="1"/>
  <c r="D20" i="6"/>
  <c r="X63" i="1"/>
  <c r="W71" i="1"/>
  <c r="P5" i="6"/>
  <c r="J18" i="7" s="1"/>
  <c r="G21" i="6"/>
  <c r="E25" i="7" s="1"/>
  <c r="B29" i="7"/>
  <c r="G29" i="6"/>
  <c r="E33" i="7" s="1"/>
  <c r="B28" i="7"/>
  <c r="T3" i="1"/>
  <c r="V13" i="1"/>
  <c r="W21" i="1"/>
  <c r="V29" i="1"/>
  <c r="T32" i="1"/>
  <c r="W34" i="1"/>
  <c r="X42" i="1"/>
  <c r="V45" i="1"/>
  <c r="G34" i="6"/>
  <c r="E38" i="7" s="1"/>
  <c r="D34" i="6"/>
  <c r="L34" i="6"/>
  <c r="D38" i="7" s="1"/>
  <c r="X48" i="1"/>
  <c r="X58" i="1"/>
  <c r="T69" i="1"/>
  <c r="W74" i="1"/>
  <c r="T77" i="1"/>
  <c r="T85" i="1"/>
  <c r="X87" i="1"/>
  <c r="U90" i="1"/>
  <c r="W93" i="1"/>
  <c r="T93" i="1"/>
  <c r="X95" i="1"/>
  <c r="V98" i="1"/>
  <c r="T101" i="1"/>
  <c r="U106" i="1"/>
  <c r="V111" i="1"/>
  <c r="B8" i="2"/>
  <c r="J4" i="6"/>
  <c r="D17" i="7" s="1"/>
  <c r="Q5" i="6"/>
  <c r="K18" i="7" s="1"/>
  <c r="L29" i="6"/>
  <c r="D33" i="7" s="1"/>
  <c r="G33" i="6"/>
  <c r="E37" i="7" s="1"/>
  <c r="F33" i="6"/>
  <c r="D33" i="6"/>
  <c r="L33" i="6"/>
  <c r="D37" i="7" s="1"/>
  <c r="W16" i="1"/>
  <c r="T16" i="1"/>
  <c r="X18" i="1"/>
  <c r="E7" i="6"/>
  <c r="I11" i="7" s="1"/>
  <c r="U3" i="1"/>
  <c r="U32" i="1"/>
  <c r="W45" i="1"/>
  <c r="F21" i="6"/>
  <c r="W98" i="1"/>
  <c r="U101" i="1"/>
  <c r="V106" i="1"/>
  <c r="E26" i="6"/>
  <c r="D26" i="6"/>
  <c r="U112" i="1"/>
  <c r="G26" i="6"/>
  <c r="E30" i="7" s="1"/>
  <c r="F26" i="6"/>
  <c r="K4" i="6"/>
  <c r="E17" i="7" s="1"/>
  <c r="V3" i="1"/>
  <c r="C27" i="6"/>
  <c r="G27" i="6"/>
  <c r="E31" i="7" s="1"/>
  <c r="E27" i="6"/>
  <c r="X6" i="1"/>
  <c r="D27" i="6"/>
  <c r="X16" i="1"/>
  <c r="D25" i="6"/>
  <c r="W77" i="1"/>
  <c r="V85" i="1"/>
  <c r="T88" i="1"/>
  <c r="W90" i="1"/>
  <c r="X98" i="1"/>
  <c r="V101" i="1"/>
  <c r="W106" i="1"/>
  <c r="T112" i="1"/>
  <c r="B9" i="2"/>
  <c r="L4" i="6"/>
  <c r="F17" i="7" s="1"/>
  <c r="F27" i="6"/>
  <c r="C33" i="6"/>
  <c r="L30" i="6"/>
  <c r="D34" i="7" s="1"/>
  <c r="W55" i="1"/>
  <c r="T90" i="1"/>
  <c r="T98" i="1"/>
  <c r="T106" i="1"/>
  <c r="W13" i="1"/>
  <c r="V16" i="1"/>
  <c r="X21" i="1"/>
  <c r="W29" i="1"/>
  <c r="U69" i="1"/>
  <c r="L22" i="6"/>
  <c r="D26" i="7" s="1"/>
  <c r="G22" i="6"/>
  <c r="E26" i="7" s="1"/>
  <c r="D22" i="6"/>
  <c r="W72" i="1"/>
  <c r="T72" i="1"/>
  <c r="X74" i="1"/>
  <c r="V77" i="1"/>
  <c r="U85" i="1"/>
  <c r="V90" i="1"/>
  <c r="R5" i="6"/>
  <c r="L18" i="7" s="1"/>
  <c r="E9" i="6"/>
  <c r="I13" i="7" s="1"/>
  <c r="B37" i="7"/>
  <c r="T27" i="1"/>
  <c r="W32" i="1"/>
  <c r="T35" i="1"/>
  <c r="L31" i="6"/>
  <c r="D35" i="7" s="1"/>
  <c r="G31" i="6"/>
  <c r="E35" i="7" s="1"/>
  <c r="F31" i="6"/>
  <c r="E31" i="6"/>
  <c r="C31" i="6"/>
  <c r="T43" i="1"/>
  <c r="W51" i="1"/>
  <c r="T51" i="1"/>
  <c r="T59" i="1"/>
  <c r="V69" i="1"/>
  <c r="U72" i="1"/>
  <c r="T6" i="1"/>
  <c r="W11" i="1"/>
  <c r="T14" i="1"/>
  <c r="T22" i="1"/>
  <c r="U27" i="1"/>
  <c r="K5" i="6"/>
  <c r="E18" i="7" s="1"/>
  <c r="W30" i="1"/>
  <c r="T30" i="1"/>
  <c r="X32" i="1"/>
  <c r="V35" i="1"/>
  <c r="T38" i="1"/>
  <c r="V48" i="1"/>
  <c r="U51" i="1"/>
  <c r="W56" i="1"/>
  <c r="T67" i="1"/>
  <c r="W69" i="1"/>
  <c r="V72" i="1"/>
  <c r="X77" i="1"/>
  <c r="U88" i="1"/>
  <c r="X93" i="1"/>
  <c r="T104" i="1"/>
  <c r="W109" i="1"/>
  <c r="V112" i="1"/>
  <c r="B12" i="6"/>
  <c r="I4" i="7" s="1"/>
  <c r="F20" i="6"/>
  <c r="E33" i="6"/>
  <c r="G28" i="6"/>
  <c r="E32" i="7" s="1"/>
  <c r="C36" i="6"/>
  <c r="T114" i="1"/>
  <c r="C21" i="6"/>
  <c r="D36" i="6"/>
  <c r="B34" i="7"/>
  <c r="B40" i="7"/>
  <c r="L25" i="6"/>
  <c r="D29" i="7" s="1"/>
  <c r="C30" i="6"/>
  <c r="B25" i="7"/>
  <c r="F30" i="6"/>
  <c r="B38" i="7"/>
  <c r="C28" i="6"/>
  <c r="E28" i="6"/>
  <c r="K19" i="6" l="1"/>
  <c r="C23" i="7" s="1"/>
  <c r="O22" i="6"/>
  <c r="I26" i="7" s="1"/>
  <c r="K20" i="6"/>
  <c r="C24" i="7" s="1"/>
  <c r="H23" i="6"/>
  <c r="J23" i="6" s="1"/>
  <c r="O21" i="6"/>
  <c r="I25" i="7" s="1"/>
  <c r="P19" i="6"/>
  <c r="J23" i="7" s="1"/>
  <c r="K23" i="6"/>
  <c r="C27" i="7" s="1"/>
  <c r="K21" i="6"/>
  <c r="C25" i="7" s="1"/>
  <c r="R25" i="6"/>
  <c r="L29" i="7" s="1"/>
  <c r="K35" i="6"/>
  <c r="C39" i="7" s="1"/>
  <c r="H34" i="6"/>
  <c r="J34" i="6" s="1"/>
  <c r="K22" i="6"/>
  <c r="C26" i="7" s="1"/>
  <c r="K34" i="6"/>
  <c r="C38" i="7" s="1"/>
  <c r="H22" i="6"/>
  <c r="J22" i="6" s="1"/>
  <c r="K32" i="6"/>
  <c r="C36" i="7" s="1"/>
  <c r="H21" i="6"/>
  <c r="J21" i="6" s="1"/>
  <c r="K26" i="6"/>
  <c r="C30" i="7" s="1"/>
  <c r="K33" i="6"/>
  <c r="C37" i="7" s="1"/>
  <c r="H35" i="6"/>
  <c r="J35" i="6" s="1"/>
  <c r="K25" i="6"/>
  <c r="C29" i="7" s="1"/>
  <c r="H30" i="6"/>
  <c r="J30" i="6" s="1"/>
  <c r="H24" i="6"/>
  <c r="J24" i="6" s="1"/>
  <c r="O19" i="6"/>
  <c r="I23" i="7" s="1"/>
  <c r="Q20" i="6"/>
  <c r="K24" i="7" s="1"/>
  <c r="O25" i="6"/>
  <c r="I29" i="7" s="1"/>
  <c r="Q25" i="6"/>
  <c r="K29" i="7" s="1"/>
  <c r="H33" i="6"/>
  <c r="J33" i="6" s="1"/>
  <c r="K27" i="6"/>
  <c r="C31" i="7" s="1"/>
  <c r="H20" i="6"/>
  <c r="J20" i="6" s="1"/>
  <c r="B11" i="6"/>
  <c r="G4" i="7" s="1"/>
  <c r="B9" i="6"/>
  <c r="C4" i="7" s="1"/>
  <c r="O20" i="6"/>
  <c r="I24" i="7" s="1"/>
  <c r="D9" i="8"/>
  <c r="O26" i="6"/>
  <c r="I30" i="7" s="1"/>
  <c r="H32" i="6"/>
  <c r="J32" i="6" s="1"/>
  <c r="P22" i="6"/>
  <c r="J26" i="7" s="1"/>
  <c r="I23" i="6"/>
  <c r="S24" i="6"/>
  <c r="M28" i="7" s="1"/>
  <c r="Q24" i="6"/>
  <c r="K28" i="7" s="1"/>
  <c r="P20" i="6"/>
  <c r="J24" i="7" s="1"/>
  <c r="H26" i="6"/>
  <c r="J26" i="6" s="1"/>
  <c r="K29" i="6"/>
  <c r="C33" i="7" s="1"/>
  <c r="Q26" i="6"/>
  <c r="K30" i="7" s="1"/>
  <c r="S21" i="6"/>
  <c r="M25" i="7" s="1"/>
  <c r="R26" i="6"/>
  <c r="L30" i="7" s="1"/>
  <c r="H36" i="6"/>
  <c r="J36" i="6" s="1"/>
  <c r="H27" i="6"/>
  <c r="J27" i="6" s="1"/>
  <c r="Q19" i="6"/>
  <c r="K23" i="7" s="1"/>
  <c r="Q22" i="6"/>
  <c r="K26" i="7" s="1"/>
  <c r="D8" i="8"/>
  <c r="P25" i="6"/>
  <c r="J29" i="7" s="1"/>
  <c r="S25" i="6"/>
  <c r="M29" i="7" s="1"/>
  <c r="R21" i="6"/>
  <c r="L25" i="7" s="1"/>
  <c r="R20" i="6"/>
  <c r="L24" i="7" s="1"/>
  <c r="R24" i="6"/>
  <c r="L28" i="7" s="1"/>
  <c r="P21" i="6"/>
  <c r="J25" i="7" s="1"/>
  <c r="H25" i="6"/>
  <c r="P26" i="6"/>
  <c r="J30" i="7" s="1"/>
  <c r="Q23" i="6"/>
  <c r="K27" i="7" s="1"/>
  <c r="D10" i="8"/>
  <c r="K30" i="6"/>
  <c r="C34" i="7" s="1"/>
  <c r="K31" i="6"/>
  <c r="C35" i="7" s="1"/>
  <c r="R22" i="6"/>
  <c r="L26" i="7" s="1"/>
  <c r="S26" i="6"/>
  <c r="M30" i="7" s="1"/>
  <c r="O23" i="6"/>
  <c r="I27" i="7" s="1"/>
  <c r="S22" i="6"/>
  <c r="M26" i="7" s="1"/>
  <c r="K28" i="6"/>
  <c r="C32" i="7" s="1"/>
  <c r="D6" i="8"/>
  <c r="R23" i="6"/>
  <c r="L27" i="7" s="1"/>
  <c r="Q21" i="6"/>
  <c r="K25" i="7" s="1"/>
  <c r="S23" i="6"/>
  <c r="M27" i="7" s="1"/>
  <c r="K36" i="6"/>
  <c r="C40" i="7" s="1"/>
  <c r="R19" i="6"/>
  <c r="L23" i="7" s="1"/>
  <c r="H28" i="6"/>
  <c r="J28" i="6" s="1"/>
  <c r="S19" i="6"/>
  <c r="M23" i="7" s="1"/>
  <c r="O24" i="6"/>
  <c r="I28" i="7" s="1"/>
  <c r="S20" i="6"/>
  <c r="M24" i="7" s="1"/>
  <c r="P23" i="6"/>
  <c r="J27" i="7" s="1"/>
  <c r="H31" i="6"/>
  <c r="J31" i="6" s="1"/>
  <c r="H19" i="6"/>
  <c r="J19" i="6" s="1"/>
  <c r="H29" i="6"/>
  <c r="D7" i="8"/>
  <c r="P24" i="6"/>
  <c r="J28" i="7" s="1"/>
  <c r="K24" i="6"/>
  <c r="C28" i="7" s="1"/>
  <c r="I22" i="6" l="1"/>
  <c r="I24" i="6"/>
  <c r="I20" i="6"/>
  <c r="I27" i="6"/>
  <c r="I35" i="6"/>
  <c r="I21" i="6"/>
  <c r="I26" i="6"/>
  <c r="I34" i="6"/>
  <c r="I30" i="6"/>
  <c r="I19" i="6"/>
  <c r="I31" i="6"/>
  <c r="I33" i="6"/>
  <c r="I28" i="6"/>
  <c r="J29" i="6"/>
  <c r="I29" i="6"/>
  <c r="J25" i="6"/>
  <c r="I25" i="6"/>
  <c r="I36" i="6"/>
  <c r="I32" i="6"/>
  <c r="B15" i="6"/>
</calcChain>
</file>

<file path=xl/sharedStrings.xml><?xml version="1.0" encoding="utf-8"?>
<sst xmlns="http://schemas.openxmlformats.org/spreadsheetml/2006/main" count="2122" uniqueCount="1221">
  <si>
    <t># item</t>
  </si>
  <si>
    <t>Dominio</t>
  </si>
  <si>
    <t>Subdominio</t>
  </si>
  <si>
    <t>Requerimiento</t>
  </si>
  <si>
    <t>Detalle del requerimiento</t>
  </si>
  <si>
    <t>Artículo / Ítem / Lugar</t>
  </si>
  <si>
    <t>Normativa</t>
  </si>
  <si>
    <t>Normativa específica / Fuente</t>
  </si>
  <si>
    <t>Qué se debe realizar / Documento-Control-Evidencia</t>
  </si>
  <si>
    <t>Valor cumplimiento (0, 0.5, 1, N/A)</t>
  </si>
  <si>
    <t>Estado automático</t>
  </si>
  <si>
    <t>Evidencia levantada</t>
  </si>
  <si>
    <t>Brecha / observación</t>
  </si>
  <si>
    <t>Responsable sugerido</t>
  </si>
  <si>
    <t>Prioridad</t>
  </si>
  <si>
    <t>Periodicidad / Plazo</t>
  </si>
  <si>
    <t>Cruce / equivalencia normativa</t>
  </si>
  <si>
    <t>Revisión exhaustiva DD</t>
  </si>
  <si>
    <t>Control ISO/IEC 27001:2022 asociado</t>
  </si>
  <si>
    <t>Criterio de decisión</t>
  </si>
  <si>
    <t>Acción sugerida para cierre</t>
  </si>
  <si>
    <t>Plazo sugerido de atención</t>
  </si>
  <si>
    <t>Peso de atención</t>
  </si>
  <si>
    <t>Fase sugerida del plan</t>
  </si>
  <si>
    <t>Contexto y alcance</t>
  </si>
  <si>
    <t>Aplicabilidad normativa</t>
  </si>
  <si>
    <t>Determinar aplicabilidad SB/SEPS por entidad, servicio y régimen</t>
  </si>
  <si>
    <t>Identificar si la entidad está controlada por SB, SEPS o ambas; para SEPS, definir segmento/régimen (general, especial o simplificado) y tipo de servicio auxiliar aplicable.</t>
  </si>
  <si>
    <t>SEPS Art. 1-3; SB Art. 1</t>
  </si>
  <si>
    <t>Ambas</t>
  </si>
  <si>
    <t>SEPS Res. 2022-002; SB Libro I, Título IX, Cap. V</t>
  </si>
  <si>
    <t>Matriz de aplicabilidad normativa, acta de validación con Legal/Compliance, alcance por empresa y servicio, identificación de régimen SEPS y alcance SB.</t>
  </si>
  <si>
    <t>Legal / Cumplimiento / CISO</t>
  </si>
  <si>
    <t>Alta</t>
  </si>
  <si>
    <t>Inicial y ante cambio regulatorio o de servicio</t>
  </si>
  <si>
    <t>Base para definir qué filas aplican y evitar falsos incumplimientos.</t>
  </si>
  <si>
    <t>R1 normativa + R2 anexos + R3 cruce</t>
  </si>
  <si>
    <t>Cl. 4.1, 4.2, 4.3; A.5.31 Requisitos legales, estatutarios, regulatorios y contractuales</t>
  </si>
  <si>
    <t>Objeto de seguridad</t>
  </si>
  <si>
    <t>Preservar confidencialidad, integridad y disponibilidad de activos e información</t>
  </si>
  <si>
    <t>El programa debe proteger información y activos de información, incluyendo datos físicos, digitales, infraestructura, servicios, software, hardware y terceros.</t>
  </si>
  <si>
    <t>SEPS Art. 2 y 4; SB Art. 2 núm. 50; SB Art. 24</t>
  </si>
  <si>
    <t>SEPS Res. 2022-002; SB Riesgo Operativo</t>
  </si>
  <si>
    <t>Declaración formal del objetivo del SGSI, política de seguridad de la información y alcance documentado de activos, servicios y procesos.</t>
  </si>
  <si>
    <t>CISO</t>
  </si>
  <si>
    <t>Anual</t>
  </si>
  <si>
    <t>CID como principio común de ambas normas.</t>
  </si>
  <si>
    <t>Cl. 5.2, 6.2; A.5.1 Políticas de SI; A.5.9 Inventario de activos; A.5.12 Clasificación de la información</t>
  </si>
  <si>
    <t>Alcance SGSI</t>
  </si>
  <si>
    <t>Definir alcance del SGSI</t>
  </si>
  <si>
    <t>El alcance debe considerar tipos de información, procesos críticos/agregadores, personas, unidades, infraestructura tecnológica, ubicaciones físicas y relaciones con terceros que acceden a información crítica o sensible.</t>
  </si>
  <si>
    <t>SEPS Art. 10; SB Art. 25 núm. 1</t>
  </si>
  <si>
    <t>SEPS Art. 10; SB Art. 25</t>
  </si>
  <si>
    <t>Documento de alcance del SGSI aprobado, mapa de procesos y activos dentro/fuera de alcance, justificación de exclusiones.</t>
  </si>
  <si>
    <t>CISO / Dueños de procesos</t>
  </si>
  <si>
    <t>Anual o ante cambios</t>
  </si>
  <si>
    <t>Requerimiento homologado SEPS-SB.</t>
  </si>
  <si>
    <t>Cl. 4.3, 4.4; A.5.9 Inventario de activos; A.5.12 Clasificación; A.5.19 Relación con proveedores</t>
  </si>
  <si>
    <t>Normas de referencia</t>
  </si>
  <si>
    <t>Adoptar estándares reconocidos para SGSI, controles, continuidad y riesgos</t>
  </si>
  <si>
    <t>SEPS refiere ISO/IEC 27000 y controles ISO/IEC 27002; SB refiere ISO/IEC 27000, buenas prácticas internacionales de ciberseguridad y continuidad basada en ISO 22301.</t>
  </si>
  <si>
    <t>SEPS Art. 10-11; SB Art. 18, 24, 25, 26</t>
  </si>
  <si>
    <t>SEPS y SB</t>
  </si>
  <si>
    <t>Mapa normativo interno que relacione ISO 27001/27002, ISO 22301, NIST/CSF u otro marco adoptado, con los requisitos SB/SEPS.</t>
  </si>
  <si>
    <t>CISO / Riesgos / Continuidad</t>
  </si>
  <si>
    <t>Media</t>
  </si>
  <si>
    <t>Permite evidenciar criterio técnico de control.</t>
  </si>
  <si>
    <t>Cl. 6.1, 7.5; A.5.31 Requisitos regulatorios; A.5.36 Cumplimiento de políticas y estándares</t>
  </si>
  <si>
    <t>Gobernanza</t>
  </si>
  <si>
    <t>Órgano de gobierno</t>
  </si>
  <si>
    <t>Aprobación formal por Directorio/Consejo</t>
  </si>
  <si>
    <t>El órgano de gobierno debe aprobar planes, políticas, recursos, roles, responsabilidades, capacitación y gestión de riesgos de seguridad de la información.</t>
  </si>
  <si>
    <t>SEPS Art. 12, 20, 26; SB Art. 1, 24, 25</t>
  </si>
  <si>
    <t>SEPS capítulos II-IV; SB Art. 24-25</t>
  </si>
  <si>
    <t>Actas de Directorio/Consejo, resoluciones de aprobación, versiones controladas de PESI, políticas, plan de recursos, plan de riesgos y plan de capacitación.</t>
  </si>
  <si>
    <t>Directorio / Consejo / Gerencia General</t>
  </si>
  <si>
    <t>Según calendario de comités y aprobación anual</t>
  </si>
  <si>
    <t>Requisito de gobierno común.</t>
  </si>
  <si>
    <t>Cl. 5.1, 5.2, 5.3, 6.2; A.5.1 Políticas; A.5.2 Roles y responsabilidades; A.5.36 Cumplimiento</t>
  </si>
  <si>
    <t>Comité de Seguridad</t>
  </si>
  <si>
    <t>Conformar Comité de Seguridad de la Información</t>
  </si>
  <si>
    <t>Debe existir un CSI con participación de gobierno, gerencia, riesgos, tecnología y seguridad; en SEPS el presidente del Comité de Administración Integral de Riesgos preside para régimen general/especial; en SB lo preside un miembro del Directorio.</t>
  </si>
  <si>
    <t>SEPS Art. 6, 15; SB Art. 24</t>
  </si>
  <si>
    <t>SEPS Art. 6 y 15; SB Art. 24</t>
  </si>
  <si>
    <t>Resolución de conformación, reglamento del comité, nómina de miembros titulares, cargos no delegables cuando aplique, matriz de roles y voto/voz.</t>
  </si>
  <si>
    <t>Gerencia General / Directorio / CISO</t>
  </si>
  <si>
    <t>Conformación inicial y actualización por cambios</t>
  </si>
  <si>
    <t>Aplicar criterio más exigente si la entidad está bajo SB.</t>
  </si>
  <si>
    <t>Cl. 5.3; A.5.2 Roles y responsabilidades; A.5.4 Responsabilidades de la dirección; A.5.35 Revisión independiente</t>
  </si>
  <si>
    <t>Sesiones CSI</t>
  </si>
  <si>
    <t>Sesionar, documentar y custodiar actas del CSI</t>
  </si>
  <si>
    <t>SEPS exige sesiones ordinarias al menos dos veces al año en régimen general; SB exige reuniones al menos trimestrales y reporte directo al Directorio/Alta Gerencia/CAIR.</t>
  </si>
  <si>
    <t>SEPS Art. 7; SB Art. 24</t>
  </si>
  <si>
    <t>Calendario anual de sesiones, convocatorias, quórum, actas numeradas y firmadas, matriz de compromisos y seguimiento.</t>
  </si>
  <si>
    <t>Presidente CSI / Secretario CSI</t>
  </si>
  <si>
    <t>Trimestral si aplica SB; mínimo semestral si solo SEPS general/especial</t>
  </si>
  <si>
    <t>Criterio más estricto: trimestral.</t>
  </si>
  <si>
    <t>Cl. 9.3; A.5.35 Revisión independiente; A.5.36 Cumplimiento; A.5.37 Procedimientos operativos documentados</t>
  </si>
  <si>
    <t>Reglamento CSI</t>
  </si>
  <si>
    <t>Expedir reglamento del Comité de Seguridad</t>
  </si>
  <si>
    <t>SB exige reglamento con objetivo, funciones y responsabilidades; SEPS exige estructura y responsabilidades del comité, por lo que conviene formalizarlo también para SEPS.</t>
  </si>
  <si>
    <t>SB Art. 24; SEPS Art. 6-7</t>
  </si>
  <si>
    <t>Reglamento del CSI aprobado, objetivo, funciones, miembros, quórum, voto, frecuencia, reportes, custodia de actas y flujo de escalamiento.</t>
  </si>
  <si>
    <t>CISO / Secretaría CSI</t>
  </si>
  <si>
    <t>Inicial y anual</t>
  </si>
  <si>
    <t>Control unificador de gobernanza.</t>
  </si>
  <si>
    <t>Cl. 5.3, 7.5; A.5.2 Roles y responsabilidades; A.5.3 Segregación de funciones; A.5.36 Cumplimiento; A.5.37 Procedimientos documentados</t>
  </si>
  <si>
    <t>Área de Seguridad</t>
  </si>
  <si>
    <t>Contar con área/unidad independiente de Seguridad de la Información</t>
  </si>
  <si>
    <t>SB exige área independiente y especializada que reporte a máxima autoridad gerencial, separada de negocio, tecnología, riesgos y auditoría. SEPS exige Unidad/Departamento para régimen general adscrito a Gerencia General.</t>
  </si>
  <si>
    <t>SEPS Art. 8; SB Art. 24</t>
  </si>
  <si>
    <t>Organigrama aprobado, descripción de puesto, dependencia jerárquica, independencia funcional, perfil del equipo y evidencia de recursos.</t>
  </si>
  <si>
    <t>Gerencia General / CISO</t>
  </si>
  <si>
    <t>Inicial y ante cambios organizacionales</t>
  </si>
  <si>
    <t>Independencia funcional es más explícita en SB.</t>
  </si>
  <si>
    <t>Cl. 5.3, 7.1; A.5.2 Roles y responsabilidades; A.5.3 Segregación de funciones; A.5.4 Responsabilidades de la dirección</t>
  </si>
  <si>
    <t>Responsable/OSI</t>
  </si>
  <si>
    <t>Designar Oficial o Responsable de Seguridad de la Información</t>
  </si>
  <si>
    <t>Debe existir un OSI/responsable con funciones de definición, supervisión, ejecución y mejora de la gestión de seguridad de la información; SEPS define requisitos de capacitación y experiencia según régimen.</t>
  </si>
  <si>
    <t>SEPS Art. 8, 12, 17, 20, 23, 26; SB Art. 24</t>
  </si>
  <si>
    <t>Nombramiento formal, perfil de cargo, hoja de vida, certificaciones/capacitaciones, matriz RACI y plan de sustitución.</t>
  </si>
  <si>
    <t>Gerencia General</t>
  </si>
  <si>
    <t>Inicial y ante cambios</t>
  </si>
  <si>
    <t>Equivalencia OSI SEPS / responsable área SI SB.</t>
  </si>
  <si>
    <t>Cl. 5.3, 7.2; A.5.2 Roles y responsabilidades; A.6.3 Concienciación, educación y formación</t>
  </si>
  <si>
    <t>Recursos</t>
  </si>
  <si>
    <t>Asignar recursos humanos, técnicos y financieros</t>
  </si>
  <si>
    <t>Deben existir recursos aprobados para gestión de seguridad, controles, capacitación, riesgos, auditorías y tecnologías de seguridad.</t>
  </si>
  <si>
    <t>SEPS Art. 9, 18, 24; SB Art. 15, 24, 25</t>
  </si>
  <si>
    <t>SEPS Art. 9/18/24; SB Art. 15/25</t>
  </si>
  <si>
    <t>Plan de recursos, presupuesto anual, plan operativo, requerimientos de herramientas, personal, capacitación, consultorías y licencias.</t>
  </si>
  <si>
    <t>Directorio / Gerencia General / CISO</t>
  </si>
  <si>
    <t>Control habilitante para todo el programa.</t>
  </si>
  <si>
    <t>Cl. 7.1, 7.2; A.5.2 Roles y responsabilidades; A.6.3 Formación y concienciación</t>
  </si>
  <si>
    <t>Liderar y promover la gestión de Seguridad de la Información</t>
  </si>
  <si>
    <t>La gerencia debe liderar la gestión, designar al OSI/responsable y promover la participación de partes interesadas.</t>
  </si>
  <si>
    <t>SEPS Art. 12, 20, 26; SB Art. 24</t>
  </si>
  <si>
    <t>Acta de designación, comunicaciones de patrocinio, participación en comité, matriz de stakeholders y seguimiento de recursos.</t>
  </si>
  <si>
    <t>Permanente</t>
  </si>
  <si>
    <t>Gobierno y tone at the top.</t>
  </si>
  <si>
    <t>Cl. 5.1; A.5.4 Responsabilidades de la dirección; A.5.1 Políticas de SI</t>
  </si>
  <si>
    <t>Auditoría interna / vigilancia</t>
  </si>
  <si>
    <t>Verificar eficacia del SGSI y controles</t>
  </si>
  <si>
    <t>SB exige revisión periódica de efectividad del SGSI y continuidad; SEPS asigna funciones a Auditor Interno/Consejo de Vigilancia para verificar medidas, custodiar informes y recomendar correcciones.</t>
  </si>
  <si>
    <t>SEPS Art. 12, 20, 26; SB Art. 11</t>
  </si>
  <si>
    <t>Plan anual de auditoría, informes de revisión, pruebas de efectividad, evidencias de hallazgos, planes de acción y seguimiento.</t>
  </si>
  <si>
    <t>Auditoría Interna / Consejo de Vigilancia</t>
  </si>
  <si>
    <t>Anual y según plan</t>
  </si>
  <si>
    <t>Tercera línea de defensa.</t>
  </si>
  <si>
    <t>Cl. 9.2, 9.3; A.5.35 Revisión independiente de SI; A.8.34 Protección durante pruebas de auditoría</t>
  </si>
  <si>
    <t>Revisión documental</t>
  </si>
  <si>
    <t>Revisar y actualizar documentación de seguridad</t>
  </si>
  <si>
    <t>SEPS exige revisión anual y actualización cuando corresponda; SB exige revisión anual o ante cambios significativos para políticas, metodologías y continuidad.</t>
  </si>
  <si>
    <t>SEPS Art. 21 y 27; SB Art. 19, 25</t>
  </si>
  <si>
    <t>SEPS Art. 21/27; SB Art. 19/25</t>
  </si>
  <si>
    <t>Calendario de revisión documental, control de versiones, aprobaciones, historial de cambios y evidencia de difusión.</t>
  </si>
  <si>
    <t>CISO / Dueños de documentos</t>
  </si>
  <si>
    <t>Requisito recurrente.</t>
  </si>
  <si>
    <t>Cl. 7.5, 9.3, 10.1; A.5.36 Cumplimiento de políticas; A.5.37 Procedimientos operativos documentados</t>
  </si>
  <si>
    <t>SGSI</t>
  </si>
  <si>
    <t>Sistema de gestión</t>
  </si>
  <si>
    <t>Implementar, mantener y mejorar continuamente el SGSI</t>
  </si>
  <si>
    <t>Debe existir un SGSI que gestione seguridad de la información y ciberseguridad, alineado a estándares reconocidos y normativa aplicable.</t>
  </si>
  <si>
    <t>SEPS Art. 10; SB Art. 24-25</t>
  </si>
  <si>
    <t>Manual/Modelo SGSI, alcance, política, objetivos, mapa de procesos, matriz de riesgos, controles, indicadores, auditorías y mejora continua.</t>
  </si>
  <si>
    <t>Núcleo de cumplimiento.</t>
  </si>
  <si>
    <t>Cl. 4.4, 5.2, 6.1, 8.1, 9.1, 10.2; A.5.1 Políticas de SI</t>
  </si>
  <si>
    <t>Políticas y procedimientos</t>
  </si>
  <si>
    <t>Definir políticas, procesos, procedimientos, roles y responsabilidades</t>
  </si>
  <si>
    <t>Las normas exigen normativa interna documentada, difundida, alineada a objetivos de negocio y con consecuencias por incumplimiento.</t>
  </si>
  <si>
    <t>SEPS Art. 9, 18, 24; Anexo 1; SB Art. 25</t>
  </si>
  <si>
    <t>SEPS Anexo 1; SB Art. 25</t>
  </si>
  <si>
    <t>Política de Seguridad de la Información, procedimientos, instructivos, RACI, flujos de aprobación y registro de difusión/aceptación.</t>
  </si>
  <si>
    <t>CISO / Procesos</t>
  </si>
  <si>
    <t>Incluye ciberseguridad en SB.</t>
  </si>
  <si>
    <t>Cl. 5.2, 5.3, 7.5; A.5.1 Políticas; A.5.2 Roles; A.5.36 Cumplimiento; A.5.37 Procedimientos documentados</t>
  </si>
  <si>
    <t>Plan estratégico</t>
  </si>
  <si>
    <t>Contar con Plan Estratégico de Seguridad de la Información</t>
  </si>
  <si>
    <t>SEPS régimen general exige PESI; SB exige estrategia y objetivos de SI alineados a estrategia institucional.</t>
  </si>
  <si>
    <t>SEPS Art. 9 y 12; SB Art. 24</t>
  </si>
  <si>
    <t>SEPS Art. 9/12; SB Art. 24</t>
  </si>
  <si>
    <t>PESI aprobado, objetivos, iniciativas, responsables, presupuesto, indicadores, relación con plan estratégico institucional y seguimiento.</t>
  </si>
  <si>
    <t>CISO / Directorio</t>
  </si>
  <si>
    <t>Anual o plurianual con seguimiento</t>
  </si>
  <si>
    <t>Unifica PESI con estrategia SB.</t>
  </si>
  <si>
    <t>Cl. 6.2, 6.3; A.5.1 Políticas de SI; A.5.8 Seguridad en gestión de proyectos</t>
  </si>
  <si>
    <t>Plan operativo / plan de seguridad</t>
  </si>
  <si>
    <t>Planificar controles y acciones de mejora</t>
  </si>
  <si>
    <t>El plan debe permitir implementar controles identificados, acciones de mejora y mitigación de riesgos de SI y ciberseguridad.</t>
  </si>
  <si>
    <t>SB Art. 25; SEPS Anexo 1 y 2</t>
  </si>
  <si>
    <t>SB Art. 25; SEPS Anexo 2</t>
  </si>
  <si>
    <t>Plan de seguridad de la información, cartera de controles, plan de tratamiento, cronograma, responsables, costos, estado y evidencia de cierre.</t>
  </si>
  <si>
    <t>Trimestral seguimiento / anual planificación</t>
  </si>
  <si>
    <t>Equivale a plan de tratamiento y plan de controles.</t>
  </si>
  <si>
    <t>Cl. 6.1, 6.2, 8.1; A.5.8 Seguridad en proyectos; A.5.36 Cumplimiento</t>
  </si>
  <si>
    <t>Capacitación y cultura</t>
  </si>
  <si>
    <t>Ejecutar plan de concienciación y formación</t>
  </si>
  <si>
    <t>SEPS exige plan/actividades de concienciación y formación; Anexo 1 pide evaluar el plan, medir madurez y capacitar a personal, proveedores, clientes, socios y usuarios. SB exige capacitación a empleados y clientes según alcance.</t>
  </si>
  <si>
    <t>SEPS Art. 9, 18, 24, Anexo 1; SB Art. 25, 27</t>
  </si>
  <si>
    <t>SEPS Art. 9/Anexo 1; SB Art. 25/27</t>
  </si>
  <si>
    <t>Plan anual de capacitación, campañas, registros de asistencia, evaluaciones, indicadores de madurez, campañas a clientes/proveedores cuando aplique.</t>
  </si>
  <si>
    <t>CISO / Talento Humano / Marketing</t>
  </si>
  <si>
    <t>Anual con ejecución continua</t>
  </si>
  <si>
    <t>Incluye cultura interna y externa.</t>
  </si>
  <si>
    <t>Cl. 7.2, 7.3; A.6.3 Concienciación, educación y formación en SI</t>
  </si>
  <si>
    <t>Evidencia documental</t>
  </si>
  <si>
    <t>Generar y conservar documentación de la gestión</t>
  </si>
  <si>
    <t>SEPS exige que el OSI/responsable genere documentación que evidencie la gestión; SB exige evidencias de comités, informes, monitoreos, auditorías, pruebas y reportes.</t>
  </si>
  <si>
    <t>SEPS Art. 12, 20, 26; SB Art. 24-27</t>
  </si>
  <si>
    <t>Repositorio SGSI con control de versiones, evidencias por requisito, actas, informes, tickets, aprobaciones, reportes y matrices.</t>
  </si>
  <si>
    <t>CISO / PMO / Procesos</t>
  </si>
  <si>
    <t>Necesario para due diligence y supervisión.</t>
  </si>
  <si>
    <t>Cl. 7.5; A.5.33 Protección de registros; A.5.37 Procedimientos operativos documentados</t>
  </si>
  <si>
    <t>Políticas específicas SEPS</t>
  </si>
  <si>
    <t>Mantener normativa interna mínima de seguridad</t>
  </si>
  <si>
    <t>SEPS Anexo 1 menciona políticas/control de clasificación, gestión de riesgos, accesos físicos y tecnológicos, incidentes, software, infraestructura tecnológica, recursos humanos, seguridad física, terceros y ciberseguridad.</t>
  </si>
  <si>
    <t>SEPS Anexo 1, páginas controles obligatorios</t>
  </si>
  <si>
    <t>SEPS</t>
  </si>
  <si>
    <t>SEPS Anexo 1</t>
  </si>
  <si>
    <t>Catálogo de políticas y procedimientos mínimos: clasificación, riesgos SI, accesos, incidentes, software, infraestructura, RRHH, seguridad física, terceros, ciberseguridad.</t>
  </si>
  <si>
    <t>CISO / TIC / Talento Humano</t>
  </si>
  <si>
    <t>Sin equivalente exacto como listado en SB; se cruza con Art. 25.</t>
  </si>
  <si>
    <t>Cl. 5.2, 7.5; A.5.1 Políticas; A.5.10 Uso aceptable; A.5.14 Transferencia de información; A.5.15 Control de acceso; A.8.13 Respaldo; A.8.24 Criptografía; A.8.32 Gestión de cambios</t>
  </si>
  <si>
    <t>Riesgos</t>
  </si>
  <si>
    <t>Metodología</t>
  </si>
  <si>
    <t>Definir metodología de riesgos de seguridad de la información</t>
  </si>
  <si>
    <t>Debe identificar, medir, controlar/mitigar y monitorear riesgos asociados a activos de información; SEPS permite tomar como referencia Anexo 2 y SB exige alineación con riesgo operativo.</t>
  </si>
  <si>
    <t>SEPS Art. 9, 18, 24, Anexo 2; SB Art. 25</t>
  </si>
  <si>
    <t>SEPS Anexo 2; SB Art. 25</t>
  </si>
  <si>
    <t>Metodología de riesgos SI aprobada, escalas de probabilidad/impacto, criterios de CID/privacidad, apetito/tolerancia, cálculo inherente/residual y tratamiento.</t>
  </si>
  <si>
    <t>CISO / Riesgos</t>
  </si>
  <si>
    <t>Alineada a riesgo operativo.</t>
  </si>
  <si>
    <t>Cl. 6.1, 8.2, 8.3; A.5.7 Inteligencia de amenazas; A.5.36 Cumplimiento de políticas y estándares</t>
  </si>
  <si>
    <t>Identificación</t>
  </si>
  <si>
    <t>Identificar amenazas, vulnerabilidades, causas, eventos y consecuencias</t>
  </si>
  <si>
    <t>SEPS Anexo 2 exige describir evento/amenaza, causa/vulnerabilidad y consecuencia; SB exige identificar riesgos por proceso, línea de negocio, tipo de evento, factor y fallas/insuficiencias.</t>
  </si>
  <si>
    <t>SEPS Anexo 2; SB Art. 5 y 8</t>
  </si>
  <si>
    <t>SEPS Anexo 2; SB Art. 5/8</t>
  </si>
  <si>
    <t>Matriz de riesgos SI/operativos con causa, evento, consecuencia, activo, proceso, responsable, controles existentes y brecha.</t>
  </si>
  <si>
    <t>CISO / Riesgos / Dueños de procesos</t>
  </si>
  <si>
    <t>Semestral o ante cambios</t>
  </si>
  <si>
    <t>Cumple trazabilidad de riesgo.</t>
  </si>
  <si>
    <t>Cl. 6.1, 8.2; A.5.7 Inteligencia de amenazas; A.8.8 Gestión de vulnerabilidades técnicas</t>
  </si>
  <si>
    <t>Medición</t>
  </si>
  <si>
    <t>Medir riesgo inherente y residual</t>
  </si>
  <si>
    <t>SEPS propone nivel de riesgo = probabilidad x impacto y probabilidad = amenaza x vulnerabilidad; SB exige medición por probabilidad e impacto y reevaluación periódica por eventos de pérdida.</t>
  </si>
  <si>
    <t>SEPS Anexo 2; SB Art. 6</t>
  </si>
  <si>
    <t>Matriz de valoración inherente/residual, mapa de calor, criterios aprobados y evidencia de reevaluación por eventos/incidentes.</t>
  </si>
  <si>
    <t>Riesgos / CISO</t>
  </si>
  <si>
    <t>Trimestral/Semestral</t>
  </si>
  <si>
    <t>Base de priorización.</t>
  </si>
  <si>
    <t>Cl. 6.1, 9.1; A.5.36 Cumplimiento de políticas y estándares</t>
  </si>
  <si>
    <t>Controles y mitigación</t>
  </si>
  <si>
    <t>Implementar controles y planes de mitigación</t>
  </si>
  <si>
    <t>SB exige planes de mitigación formalmente establecidos y validados; SEPS exige controles para mitigar riesgos identificados considerando presupuesto y criticidad.</t>
  </si>
  <si>
    <t>SEPS Anexo 2; SB Art. 7</t>
  </si>
  <si>
    <t>Plan de tratamiento de riesgos, controles asociados, responsables, plazos, presupuesto, seguimiento y validación de eficacia.</t>
  </si>
  <si>
    <t>CISO / Dueños de proceso</t>
  </si>
  <si>
    <t>Mensual seguimiento / anual revisión</t>
  </si>
  <si>
    <t>Vincula riesgos con controles.</t>
  </si>
  <si>
    <t>Cl. 8.3, 10.1; A.5.36 Cumplimiento; A.8.8 Gestión de vulnerabilidades técnicas</t>
  </si>
  <si>
    <t>Efectividad de controles</t>
  </si>
  <si>
    <t>Evaluar diseño, formalización, ejecución y eficacia de controles</t>
  </si>
  <si>
    <t>SEPS Anexo 2 clasifica controles de efectivo a inexistente/inefectivo; SB exige evaluar diseño y efectividad de controles en primera línea y auditoría.</t>
  </si>
  <si>
    <t>SEPS Anexo 2; SB Art. 4, 7, 11, 25</t>
  </si>
  <si>
    <t>SEPS Anexo 2; SB Art. 4/7/11/25</t>
  </si>
  <si>
    <t>Matriz de evaluación de controles, pruebas de diseño/operación, resultados, evidencia y planes correctivos.</t>
  </si>
  <si>
    <t>CISO / Riesgos / Auditoría</t>
  </si>
  <si>
    <t>Semestral/Anual</t>
  </si>
  <si>
    <t>Control de segunda/tercera línea.</t>
  </si>
  <si>
    <t>Cl. 9.1, 9.2; A.5.35 Revisión independiente; A.5.36 Cumplimiento</t>
  </si>
  <si>
    <t>Reportes</t>
  </si>
  <si>
    <t>Monitorear y reportar riesgos, indicadores, mapas y planes</t>
  </si>
  <si>
    <t>SB exige reportes de KRI, cumplimiento de planes, matriz y mapas de riesgos, e informes trimestrales al CAIR; SEPS exige consolidar riesgos SI en matriz de riesgos y seguimiento.</t>
  </si>
  <si>
    <t>SEPS Art. 12/20; SB Art. 8</t>
  </si>
  <si>
    <t>Informe trimestral de riesgos SI/operativos, KRI/KPI, mapa de calor, avance de mitigación, conclusiones y recomendaciones.</t>
  </si>
  <si>
    <t>Trimestral</t>
  </si>
  <si>
    <t>Requisito más estricto SB trimestral.</t>
  </si>
  <si>
    <t>Cl. 9.1, 9.3; A.5.36 Cumplimiento de políticas, reglas y estándares</t>
  </si>
  <si>
    <t>Base de eventos</t>
  </si>
  <si>
    <t>Mantener base/bitácora de eventos de riesgo</t>
  </si>
  <si>
    <t>SB exige base centralizada de eventos de riesgo operativo, incluidos seguridad de la información, terceros y continuidad; SEPS simplificado exige registro en bitácora de eventos de riesgo.</t>
  </si>
  <si>
    <t>SEPS Art. 24; SB Art. 9</t>
  </si>
  <si>
    <t>Base centralizada de eventos/incidentes, campos de clasificación, pérdida cuantitativa, frecuencia, probabilidad, causa raíz, acciones y responsables.</t>
  </si>
  <si>
    <t>Riesgos / CISO / Mesa de ayuda</t>
  </si>
  <si>
    <t>Puede integrarse con GLPI/SIEM/GRC.</t>
  </si>
  <si>
    <t>A.5.24 Planificación de incidentes; A.5.25 Evaluación de eventos; A.5.26 Respuesta a incidentes; A.5.27 Aprendizaje; A.5.28 Evidencia; A.5.33 Registros</t>
  </si>
  <si>
    <t>Comunicación</t>
  </si>
  <si>
    <t>Definir política formal de comunicación de eventos</t>
  </si>
  <si>
    <t>SB exige política de comunicación formal sobre eventos de riesgo operativo que deban informarse interna o externamente y evaluación del impacto de la información a comunicar.</t>
  </si>
  <si>
    <t>SB Art. 10</t>
  </si>
  <si>
    <t>SB</t>
  </si>
  <si>
    <t>Política/procedimiento de comunicación de eventos, criterios de severidad, canales, aprobadores, comunicación a regulador/clientes/proveedores y plantillas.</t>
  </si>
  <si>
    <t>Riesgos / CISO / Comunicaciones / Legal</t>
  </si>
  <si>
    <t>Complementa notificación de incidentes.</t>
  </si>
  <si>
    <t>A.5.5 Contacto con autoridades; A.5.24 Gestión de incidentes; A.6.8 Reporte de eventos de SI</t>
  </si>
  <si>
    <t>Taxonomía Basel</t>
  </si>
  <si>
    <t>Usar catálogo de eventos de riesgo operativo</t>
  </si>
  <si>
    <t>SB Anexo 1 lista categorías de riesgo operativo, incluyendo fraude interno/externo, prácticas con clientes, daños a activos, interrupción por fallas de TI y deficiencias con procesos/proveedores.</t>
  </si>
  <si>
    <t>SB Anexo 1</t>
  </si>
  <si>
    <t>Catálogo de eventos de riesgo operativo mapeado a SI/ciberseguridad, continuidad, terceros, fraude, privacidad y tecnología.</t>
  </si>
  <si>
    <t>Usar para clasificar eventos en la base centralizada.</t>
  </si>
  <si>
    <t>Cl. 6.1; A.5.24 Planificación de incidentes; A.5.25 Evaluación de eventos; A.5.27 Aprendizaje</t>
  </si>
  <si>
    <t>Activos e información</t>
  </si>
  <si>
    <t>Inventario</t>
  </si>
  <si>
    <t>Mantener inventario de activos de información</t>
  </si>
  <si>
    <t>Debe existir inventario acorde al alcance del SGSI con clasificación, valor, requerimientos legales, sensibilidad, criticidad, propietario, custodio y ubicación.</t>
  </si>
  <si>
    <t>SEPS Art. 10, 18, Anexo 1; SB Art. 25</t>
  </si>
  <si>
    <t>SEPS Art. 10/Anexo 1; SB Art. 25</t>
  </si>
  <si>
    <t>Inventario de activos, CMDB o matriz de activos, identificación de activos críticos/sensibles, propietario/custodio, ubicación física/lógica y relación con procesos.</t>
  </si>
  <si>
    <t>CISO / TIC / Dueños de activos</t>
  </si>
  <si>
    <t>Control básico de SGSI.</t>
  </si>
  <si>
    <t>A.5.9 Inventario de información y activos asociados</t>
  </si>
  <si>
    <t>Clasificación</t>
  </si>
  <si>
    <t>Clasificar información y activos</t>
  </si>
  <si>
    <t>SEPS exige identificación y clasificación de tipos y activos de información con criterios CID; Anexo 2 pide privacidad público/uso interno/restringido. SB exige clasificación por valor, requerimiento legal, sensibilidad y criticidad.</t>
  </si>
  <si>
    <t>SEPS Art. 10 y Anexo 2; SB Art. 25</t>
  </si>
  <si>
    <t>Procedimiento de clasificación, etiquetas, criterios CID/privacidad/legal/criticidad, matriz de clasificación y controles por nivel.</t>
  </si>
  <si>
    <t>CISO / Dueños de información</t>
  </si>
  <si>
    <t>Anual y al crear/modificar activos</t>
  </si>
  <si>
    <t>Homologar categorías para ambas normas.</t>
  </si>
  <si>
    <t>A.5.12 Clasificación de la información; A.5.13 Etiquetado de la información</t>
  </si>
  <si>
    <t>Propietarios</t>
  </si>
  <si>
    <t>Designar propietarios de activos de información</t>
  </si>
  <si>
    <t>SB define responsabilidades de propietarios: clasificar, revisar inventario, definir restricciones de uso/acceso y autorizar cambios funcionales o directos a bases de datos.</t>
  </si>
  <si>
    <t>SB Art. 25</t>
  </si>
  <si>
    <t>Matriz de propietarios/custodios, responsabilidades formalizadas, flujo de autorización de cambios y revisión periódica de accesos.</t>
  </si>
  <si>
    <t>Complementa custodia/responsable SEPS.</t>
  </si>
  <si>
    <t>A.5.2 Roles y responsabilidades; A.5.9 Inventario de activos</t>
  </si>
  <si>
    <t>Protección de información</t>
  </si>
  <si>
    <t>Proteger documentos, medios, dispositivos e intercambio electrónico</t>
  </si>
  <si>
    <t>Deben existir medidas para proteger información en documentos, medios de almacenamiento, dispositivos externos e intercambio electrónico contra robo, uso o divulgación no autorizada.</t>
  </si>
  <si>
    <t>SB Art. 25; SEPS Anexo 1</t>
  </si>
  <si>
    <t>Procedimiento de manejo de información, controles de DLP, cifrado, almacenamiento seguro, envío seguro, gestión de medios y autorización de traslado.</t>
  </si>
  <si>
    <t>CISO / TIC / Usuarios custodios</t>
  </si>
  <si>
    <t>Abarca información física y digital.</t>
  </si>
  <si>
    <t>A.5.10 Uso aceptable; A.5.14 Transferencia de información; A.7.10 Medios de almacenamiento; A.8.12 Prevención de fuga de datos</t>
  </si>
  <si>
    <t>Eliminación segura</t>
  </si>
  <si>
    <t>Eliminar información crítica de forma segura</t>
  </si>
  <si>
    <t>SB exige procedimientos de eliminación segura de información crítica y control de eliminación en bases de datos/repositorios de proveedores después del servicio.</t>
  </si>
  <si>
    <t>Procedimiento de eliminación segura, actas de destrucción, borrado seguro, certificados de proveedores y retención legal/regulatoria.</t>
  </si>
  <si>
    <t>CISO / TIC / Proveedores</t>
  </si>
  <si>
    <t>Según evento y revisión anual</t>
  </si>
  <si>
    <t>Clave para salida de servicios.</t>
  </si>
  <si>
    <t>A.8.10 Eliminación de información; A.7.14 Eliminación o reutilización segura de equipos</t>
  </si>
  <si>
    <t>Respaldo y resguardo</t>
  </si>
  <si>
    <t>Respaldar información sensible o crítica y probar respaldos</t>
  </si>
  <si>
    <t>SEPS exige respaldar información sensible/crítica en ubicaciones adecuadas y evidenciar funcionamiento; SB exige respaldos periódicos con frecuencia, verificación, eliminación y transporte seguro a ubicación remota.</t>
  </si>
  <si>
    <t>SEPS Anexo 1; SB Art. 15</t>
  </si>
  <si>
    <t>Política de backups, calendario, pruebas de restauración, evidencias de respaldos, cifrado, resguardo remoto y reporte de éxito/fallas.</t>
  </si>
  <si>
    <t>TIC / CISO / Continuidad</t>
  </si>
  <si>
    <t>Según criticidad; prueba al menos anual</t>
  </si>
  <si>
    <t>Relacionado con BCP/DRP.</t>
  </si>
  <si>
    <t>A.8.13 Respaldo de información; A.5.30 Preparación TIC para continuidad</t>
  </si>
  <si>
    <t>Procesos</t>
  </si>
  <si>
    <t>Mapa de procesos</t>
  </si>
  <si>
    <t>Identificar procesos agregadores, críticos y de soporte</t>
  </si>
  <si>
    <t>SEPS Anexo 1 exige documento de procesos agregadores; SB Art. 13 exige mapa de procesos gobernantes, productivos y habilitantes, asignados a líneas de negocio y metodología de diseño/control/actualización.</t>
  </si>
  <si>
    <t>SEPS Anexo 1; SB Art. 13</t>
  </si>
  <si>
    <t>Mapa de procesos, inventario de procesos críticos/agregadores, dueños, diagramas, controles, riesgos asociados y actualización.</t>
  </si>
  <si>
    <t>Procesos / CISO / Riesgos</t>
  </si>
  <si>
    <t>Base para alcance SGSI y BIA.</t>
  </si>
  <si>
    <t>Cl. 4.4; A.5.8 Seguridad en gestión de proyectos; A.5.29 SI durante interrupciones; A.5.30 Preparación TIC para continuidad</t>
  </si>
  <si>
    <t>Controles de proceso</t>
  </si>
  <si>
    <t>Definir responsables, controles y planes de acción por proceso</t>
  </si>
  <si>
    <t>SB exige responsables de procesos, identificación de clientes, productos/servicios, riesgos, controles y planes de mitigación para reducir eventos de riesgo operativo.</t>
  </si>
  <si>
    <t>SB Art. 13</t>
  </si>
  <si>
    <t>Caracterización de procesos, matriz RACI, controles, indicadores, riesgos y planes de acción por proceso.</t>
  </si>
  <si>
    <t>Procesos / Dueños de proceso / Riesgos</t>
  </si>
  <si>
    <t>Apoya gestión integral de riesgos.</t>
  </si>
  <si>
    <t>Cl. 8.1, 9.1; A.5.36 Cumplimiento; A.5.37 Procedimientos operativos documentados</t>
  </si>
  <si>
    <t>Personas</t>
  </si>
  <si>
    <t>Ciclo de vida laboral</t>
  </si>
  <si>
    <t>Gestionar incorporación, permanencia y desvinculación con enfoque de riesgo</t>
  </si>
  <si>
    <t>SB exige políticas, procesos y procedimientos para incorporación, permanencia y desvinculación; debe considerar competencias, puestos críticos, reemplazos y continuidad.</t>
  </si>
  <si>
    <t>SB Art. 14</t>
  </si>
  <si>
    <t>Procedimiento de ciclo de vida de personal, checklist de ingreso/cambio/salida, inducción, capacitación, matriz de reemplazo y control de accesos.</t>
  </si>
  <si>
    <t>Talento Humano / CISO / TIC</t>
  </si>
  <si>
    <t>Cada ingreso/cambio/salida</t>
  </si>
  <si>
    <t>Integra Seguridad RRHH.</t>
  </si>
  <si>
    <t>A.6.1 Investigación previa; A.6.2 Términos laborales; A.6.5 Responsabilidades tras terminación/cambio; A.5.11 Devolución de activos</t>
  </si>
  <si>
    <t>Confidencialidad</t>
  </si>
  <si>
    <t>Mantener acuerdos de confidencialidad actualizados</t>
  </si>
  <si>
    <t>SB exige acuerdos de confidencialidad relacionados con procesos y riesgos, incluyendo deberes que permanecen luego del cambio de funciones o terminación laboral.</t>
  </si>
  <si>
    <t>SB Art. 14; SEPS Disposición General Tercera</t>
  </si>
  <si>
    <t>NDA/contratos actualizados, cláusulas post-empleo, registro de aceptación, matriz de personal/proveedor con acuerdos vigentes.</t>
  </si>
  <si>
    <t>Legal / Talento Humano / CISO</t>
  </si>
  <si>
    <t>Ingreso, cambio y salida</t>
  </si>
  <si>
    <t>Aplica a empleados y terceros.</t>
  </si>
  <si>
    <t>A.6.6 Acuerdos de confidencialidad o no divulgación; A.6.2 Términos laborales</t>
  </si>
  <si>
    <t>Archivo de capital humano</t>
  </si>
  <si>
    <t>Mantener archivo digital centralizado de personal</t>
  </si>
  <si>
    <t>SB exige archivo digital con formación, experiencia, contratación, capacitación, cargos, evaluaciones y desvinculaciones para análisis cualitativos/cuantitativos.</t>
  </si>
  <si>
    <t>Expediente digital de personal, registros de capacitación, evaluaciones, histórico de cargos y evidencias de desvinculación.</t>
  </si>
  <si>
    <t>Talento Humano</t>
  </si>
  <si>
    <t>Apoya idoneidad y continuidad.</t>
  </si>
  <si>
    <t>A.5.33 Protección de registros; A.5.34 Privacidad y protección de datos personales; A.8.3 Restricción de acceso a información</t>
  </si>
  <si>
    <t>Seguridad física</t>
  </si>
  <si>
    <t>Implementar controles de seguridad física relacionados con información</t>
  </si>
  <si>
    <t>SEPS Anexo 1 incluye seguridad física y control de accesos físicos; SB exige centros de procesamiento protegidos y controles de acceso no autorizado.</t>
  </si>
  <si>
    <t>Procedimiento de seguridad física, control de acceso a zonas restringidas/CPD, CCTV/logs, visitantes, evidencias de revisión y pruebas.</t>
  </si>
  <si>
    <t>Seguridad Física / TIC / CISO</t>
  </si>
  <si>
    <t>Vinculado a CPD y activos críticos.</t>
  </si>
  <si>
    <t>A.7.1 Perímetros físicos; A.7.2 Entrada física; A.7.3 Oficinas e instalaciones seguras; A.7.4 Monitoreo físico; A.7.5 Protección contra amenazas físicas; A.7.6 Áreas seguras</t>
  </si>
  <si>
    <t>Accesos</t>
  </si>
  <si>
    <t>Control de accesos</t>
  </si>
  <si>
    <t>Administrar usuarios, perfiles y privilegios</t>
  </si>
  <si>
    <t>Debe existir procedimiento de concesión, modificación, eliminación y revocación de accesos; debe garantizar segregación de funciones y control de accesos de proveedores.</t>
  </si>
  <si>
    <t>Procedimiento IAM, matriz de perfiles, solicitudes/aprobaciones, revisiones periódicas, baja de usuarios, control de terceros y evidencia de recertificación.</t>
  </si>
  <si>
    <t>CISO / TIC / Dueños de sistemas</t>
  </si>
  <si>
    <t>Mensual/Trimestral según criticidad</t>
  </si>
  <si>
    <t>Cubre accesos lógicos y físicos.</t>
  </si>
  <si>
    <t>A.5.15 Control de acceso; A.5.16 Gestión de identidades; A.5.17 Información de autenticación; A.5.18 Derechos de acceso; A.8.3 Restricción de acceso; A.8.5 Autenticación segura</t>
  </si>
  <si>
    <t>Usuarios privilegiados</t>
  </si>
  <si>
    <t>Gestionar cuentas privilegiadas con MFA y trazabilidad</t>
  </si>
  <si>
    <t>SB exige credenciales personalizadas, autenticación multifactor, trazabilidad, monitoreo permanente y custodia de credenciales por defecto para uso excepcional autorizado.</t>
  </si>
  <si>
    <t>Procedimiento PAM, inventario de cuentas privilegiadas, MFA, bóveda de contraseñas, logs, monitoreo, autorizaciones de uso excepcional.</t>
  </si>
  <si>
    <t>CISO / TIC</t>
  </si>
  <si>
    <t>Permanente / revisión mensual</t>
  </si>
  <si>
    <t>Control crítico para auditoría.</t>
  </si>
  <si>
    <t>A.8.2 Derechos de acceso privilegiado; A.8.5 Autenticación segura; A.8.15 Registro de eventos; A.8.18 Programas utilitarios privilegiados</t>
  </si>
  <si>
    <t>Pistas de auditoría</t>
  </si>
  <si>
    <t>Registrar cambios y actividades sobre información crítica</t>
  </si>
  <si>
    <t>Deben existir pistas de auditoría en infraestructura, aplicativos, bases de datos y sistemas operativos; administradores no deben poder borrar/desactivar sus propias pistas.</t>
  </si>
  <si>
    <t>Configuración de logs, SIEM, retención, alertas, segregación de funciones, monitoreo de cambios y evidencia de revisión.</t>
  </si>
  <si>
    <t>Relacionado con monitoreo y detección.</t>
  </si>
  <si>
    <t>A.8.15 Registro de eventos; A.8.17 Sincronización de relojes; A.5.28 Recolección de evidencia; A.5.33 Protección de registros</t>
  </si>
  <si>
    <t>Monitoreo de accesos</t>
  </si>
  <si>
    <t>Monitorear accesos, operaciones privilegiadas e intentos no autorizados</t>
  </si>
  <si>
    <t>SB exige monitoreo permanente de accesos, operaciones privilegiadas e intentos no autorizados, internos y de proveedores.</t>
  </si>
  <si>
    <t>Casos de uso SIEM, alertas, reportes de accesos anómalos, revisión de privilegios y seguimiento de incidentes.</t>
  </si>
  <si>
    <t>CISO / SOC / TIC</t>
  </si>
  <si>
    <t>Complementa control de accesos SEPS.</t>
  </si>
  <si>
    <t>A.8.15 Registro de eventos; A.8.16 Actividades de monitoreo; A.8.18 Programas utilitarios privilegiados; A.5.25 Evaluación de eventos</t>
  </si>
  <si>
    <t>Tecnología</t>
  </si>
  <si>
    <t>Gobierno TI</t>
  </si>
  <si>
    <t>Contar con área y comité de tecnología</t>
  </si>
  <si>
    <t>SB exige área TI según tamaño/complejidad y comité tecnológico con miembros mínimos, reglamento, sesiones al menos trimestrales y evidencia al Directorio.</t>
  </si>
  <si>
    <t>SB Art. 15 núm. 1</t>
  </si>
  <si>
    <t>SB Art. 15</t>
  </si>
  <si>
    <t>Organigrama TI, reglamento Comité TI, actas, calendario, roles, reportes al Directorio y participación SI/Riesgos.</t>
  </si>
  <si>
    <t>TIC / Gerencia / CISO</t>
  </si>
  <si>
    <t>Interdependiente con SI.</t>
  </si>
  <si>
    <t>A.5.2 Roles y responsabilidades; A.5.8 Seguridad en gestión de proyectos; A.5.36 Cumplimiento; A.5.37 Procedimientos operativos documentados</t>
  </si>
  <si>
    <t>Plan TI</t>
  </si>
  <si>
    <t>Aprobar plan estratégico y operativo de TI</t>
  </si>
  <si>
    <t>SB exige plan estratégico TI alineado al plan institucional y plan operativo anual con actividades, cronogramas, responsables y presupuesto.</t>
  </si>
  <si>
    <t>SB Art. 15 núm. 2</t>
  </si>
  <si>
    <t>PETI, POA TI, presupuesto, iniciativas, indicadores, actas de aprobación y seguimiento.</t>
  </si>
  <si>
    <t>TIC / Comité TI</t>
  </si>
  <si>
    <t>Soporta controles tecnológicos del SGSI.</t>
  </si>
  <si>
    <t>A.5.8 Seguridad en proyectos; A.8.6 Gestión de capacidad; A.8.14 Redundancia de instalaciones de procesamiento</t>
  </si>
  <si>
    <t>Políticas TI</t>
  </si>
  <si>
    <t>Mantener políticas, procesos, procedimientos y metodologías de TI</t>
  </si>
  <si>
    <t>Deben estar alineados a objetivos, aceptados por Comité TI, aprobados por Directorio o delegado, difundidos al personal involucrado y con consecuencias por incumplimiento.</t>
  </si>
  <si>
    <t>Manual de TI, procedimientos operativos, control de versiones, evidencia de aprobación y difusión.</t>
  </si>
  <si>
    <t>TIC / Procesos / CISO</t>
  </si>
  <si>
    <t>Cruce con SGSI.</t>
  </si>
  <si>
    <t>A.5.1 Políticas de SI; A.5.36 Cumplimiento; A.5.37 Procedimientos operativos documentados</t>
  </si>
  <si>
    <t>Operación CPD</t>
  </si>
  <si>
    <t>Proteger operación y uso de centros de datos</t>
  </si>
  <si>
    <t>SB exige procedimientos de operación y uso de centros de datos con controles contra accesos no autorizados.</t>
  </si>
  <si>
    <t>SB Art. 15 núm. 3</t>
  </si>
  <si>
    <t>Procedimiento CPD, controles de acceso, bitácoras, monitoreo ambiental, inventario, mantenimiento y evidencias.</t>
  </si>
  <si>
    <t>TIC / Infraestructura</t>
  </si>
  <si>
    <t>También relevante para SEPS seguridad física.</t>
  </si>
  <si>
    <t>A.7.1 Perímetros físicos; A.7.2 Entrada física; A.7.4 Monitoreo físico; A.7.11 Servicios de soporte; A.7.12 Seguridad de cableado; A.7.13 Mantenimiento; A.8.14 Redundancia</t>
  </si>
  <si>
    <t>Gestión problemas TI</t>
  </si>
  <si>
    <t>Gestionar incidentes y problemas TI con causa raíz</t>
  </si>
  <si>
    <t>SB exige procedimientos de incidentes/problemas TI, análisis de causa raíz, base de conocimiento, errores conocidos, planes de acción, correlación e indicadores.</t>
  </si>
  <si>
    <t>SB Art. 15 núm. 3; SB Art. 17</t>
  </si>
  <si>
    <t>SB Art. 15/17</t>
  </si>
  <si>
    <t>Procedimiento ITSM, tickets, RCA, base de conocimiento, indicadores, planes de acción y revisiones post-incidente.</t>
  </si>
  <si>
    <t>TIC / Mesa de Servicios / CISO</t>
  </si>
  <si>
    <t>Alineado a resiliencia operativa.</t>
  </si>
  <si>
    <t>A.5.24 Planificación de incidentes; A.5.25 Evaluación de eventos; A.5.26 Respuesta a incidentes; A.5.27 Aprendizaje de incidentes</t>
  </si>
  <si>
    <t>SDLC</t>
  </si>
  <si>
    <t>Administrar ciclo de vida de aplicaciones</t>
  </si>
  <si>
    <t>SB exige metodología de adquisición, desarrollo, implementación y mantenimiento de aplicaciones, con requerimientos funcionales/técnicos, documentación, pruebas y proveedores.</t>
  </si>
  <si>
    <t>SEPS Anexo 1; SB Art. 15 núm. 4</t>
  </si>
  <si>
    <t>Metodología SDLC, procedimiento de adquisición/desarrollo, requisitos, análisis de capacidad, documentación técnica/usuario, QA, aceptación y revisión de proveedores.</t>
  </si>
  <si>
    <t>TIC / Desarrollo / CISO</t>
  </si>
  <si>
    <t>Por proyecto</t>
  </si>
  <si>
    <t>SEPS lo exige en Anexo 1.</t>
  </si>
  <si>
    <t>A.5.8 Seguridad en proyectos; A.8.25 Ciclo de vida de desarrollo seguro; A.8.26 Requisitos de seguridad de aplicaciones; A.8.27 Arquitectura e ingeniería segura; A.8.29 Pruebas de seguridad</t>
  </si>
  <si>
    <t>Desarrollo seguro</t>
  </si>
  <si>
    <t>Incluir codificación segura y prevención de vulnerabilidades</t>
  </si>
  <si>
    <t>SB exige técnicas de seguridad de la información en desarrollo con directrices de codificación segura; SEPS requiere pruebas/pentesting y adquisición/desarrollo con controles SI.</t>
  </si>
  <si>
    <t>SEPS Anexo 1; SB Art. 15 núm. 4; SB Art. 25</t>
  </si>
  <si>
    <t>SEPS Anexo 1; SB Art. 15/25</t>
  </si>
  <si>
    <t>Estándar de desarrollo seguro, revisión de código, SAST/DAST, capacitación devsecops, checklist OWASP y evidencia de pruebas antes de producción.</t>
  </si>
  <si>
    <t>TIC Desarrollo / CISO</t>
  </si>
  <si>
    <t>Por release</t>
  </si>
  <si>
    <t>Control clave para aplicaciones.</t>
  </si>
  <si>
    <t>A.8.25 Ciclo de vida de desarrollo seguro; A.8.26 Requisitos de seguridad; A.8.27 Arquitectura segura; A.8.28 Codificación segura</t>
  </si>
  <si>
    <t>Ambientes</t>
  </si>
  <si>
    <t>Segregar ambientes de desarrollo, pruebas y producción</t>
  </si>
  <si>
    <t>SB exige ambientes aislados con segregación de accesos; mínimo desarrollo y producción.</t>
  </si>
  <si>
    <t>SB Art. 15 núm. 5</t>
  </si>
  <si>
    <t>Arquitectura de ambientes, matriz de accesos, controles de paso a producción, datos enmascarados en dev/test y evidencia de segregación.</t>
  </si>
  <si>
    <t>TIC / CISO</t>
  </si>
  <si>
    <t>También apoya protección de datos.</t>
  </si>
  <si>
    <t>A.8.31 Separación de ambientes; A.8.33 Información de prueba</t>
  </si>
  <si>
    <t>Infraestructura crítica</t>
  </si>
  <si>
    <t>Administrar infraestructura con redundancia, inventario y mantenimiento</t>
  </si>
  <si>
    <t>SB exige infraestructura para procesos críticos con redundancia, inventario, respaldos de configuración, mantenimiento periódico, trayectorias distintas para enlaces y controles para terceros.</t>
  </si>
  <si>
    <t>CMDB, diagramas de arquitectura, mantenimiento, redundancia, respaldos de configuración, pruebas de failover y evidencias.</t>
  </si>
  <si>
    <t>TIC Infraestructura</t>
  </si>
  <si>
    <t>Relacionado con continuidad.</t>
  </si>
  <si>
    <t>A.8.9 Gestión de configuración; A.8.14 Redundancia; A.8.20 Seguridad de redes; A.8.21 Seguridad de servicios de red; A.7.11 Servicios de soporte</t>
  </si>
  <si>
    <t>Capacidad y desempeño</t>
  </si>
  <si>
    <t>Emitir informe semestral de capacidad y desempeño</t>
  </si>
  <si>
    <t>SB exige informe de capacidad y desempeño de infraestructura tecnológica al menos semestral, analizado por Comité TI, incluyendo alertas de operación segura y madurez/obsolescencia.</t>
  </si>
  <si>
    <t>Informe semestral de capacidad, umbrales, tendencias, obsolescencia, necesidades de actualización y acta de revisión por Comité TI.</t>
  </si>
  <si>
    <t>Semestral</t>
  </si>
  <si>
    <t>Importante para continuidad y disponibilidad.</t>
  </si>
  <si>
    <t>A.8.6 Gestión de capacidad</t>
  </si>
  <si>
    <t>Gestión de configuración</t>
  </si>
  <si>
    <t>Implementar gestión de configuración de activos TI</t>
  </si>
  <si>
    <t>SEPS Anexo 1 exige procedimientos de configuración; SB exige respaldos de configuración, registros y control de infraestructura.</t>
  </si>
  <si>
    <t>Procedimiento de configuración, línea base/hardening, CMDB, control de cambios de configuración, respaldos y revisiones.</t>
  </si>
  <si>
    <t>Base para hardening y auditoría.</t>
  </si>
  <si>
    <t>A.8.9 Gestión de configuración; A.8.19 Instalación de software; A.8.32 Gestión de cambios</t>
  </si>
  <si>
    <t>Gestión de cambios</t>
  </si>
  <si>
    <t>Controlar cambios y versiones en aplicaciones e infraestructura</t>
  </si>
  <si>
    <t>Deben existir solicitudes, análisis, priorización, aprobación, evaluación de impacto, rollback, pruebas, segregación de librerías/ambientes, aprobación del propietario y cambios de emergencia regularizados.</t>
  </si>
  <si>
    <t>SEPS Anexo 1; SB Art. 15 núm. 6</t>
  </si>
  <si>
    <t>Procedimiento de cambios, CAB, registros, aprobaciones, pruebas, rollback, versionamiento, evidencias y regularización de emergencias.</t>
  </si>
  <si>
    <t>TIC / Dueños de información / CISO</t>
  </si>
  <si>
    <t>Por cambio</t>
  </si>
  <si>
    <t>Control obligatorio en ambas.</t>
  </si>
  <si>
    <t>A.8.32 Gestión de cambios; A.8.9 Gestión de configuración; A.8.19 Instalación de software</t>
  </si>
  <si>
    <t>Migraciones</t>
  </si>
  <si>
    <t>Controlar migraciones de información y plataformas críticas</t>
  </si>
  <si>
    <t>SB exige controles para garantizar integridad, disponibilidad y confidencialidad en migraciones de información y notificación previa de 21 días para migración de plataforma tecnológica crítica.</t>
  </si>
  <si>
    <t>SB Art. 15 núm. 4-5</t>
  </si>
  <si>
    <t>Plan de migración, análisis de riesgos, pruebas, validación de datos, plan de rollback, comunicación/notificación y acta de cierre.</t>
  </si>
  <si>
    <t>TIC / CISO / Dueños de información</t>
  </si>
  <si>
    <t>Por migración</t>
  </si>
  <si>
    <t>Relevante para proyectos tecnológicos.</t>
  </si>
  <si>
    <t>A.8.32 Gestión de cambios; A.8.29 Pruebas de seguridad en desarrollo/aceptación; A.8.33 Información de prueba; A.8.13 Respaldo</t>
  </si>
  <si>
    <t>Vulnerabilidades</t>
  </si>
  <si>
    <t>Auditorías informáticas</t>
  </si>
  <si>
    <t>Realizar auditorías, revisiones generales o focalizadas</t>
  </si>
  <si>
    <t>SEPS Anexo 1 exige auditorías/revisiones internas y externas; SB exige auditoría de seguridad de la información/ciberseguridad al menos anual según perfil de riesgo.</t>
  </si>
  <si>
    <t>Plan anual de auditorías SI/TI, alcance, informes, hallazgos, planes de acción, seguimiento y comparación con revisiones previas.</t>
  </si>
  <si>
    <t>CISO / Auditoría Interna</t>
  </si>
  <si>
    <t>Debe ejecutarlo personal independiente cuando corresponda.</t>
  </si>
  <si>
    <t>Cl. 9.2; A.5.35 Revisión independiente de SI; A.8.34 Protección durante pruebas de auditoría</t>
  </si>
  <si>
    <t>Pentesting</t>
  </si>
  <si>
    <t>Realizar pruebas de penetración y vulnerabilidades</t>
  </si>
  <si>
    <t>SEPS exige pruebas de penetración al menos anual en régimen general; SB exige auditorías anuales que incluyan pruebas de vulnerabilidad y penetración en equipos, dispositivos, canales, aplicaciones, etc.</t>
  </si>
  <si>
    <t>SEPS Anexo 1; SB Art. 25 y 27</t>
  </si>
  <si>
    <t>SEPS Anexo 1; SB Art. 25/27</t>
  </si>
  <si>
    <t>Alcance pentesting/ethical hacking, NDA, autorización, metodología, informe ejecutivo/técnico, plan de remediación y re-test.</t>
  </si>
  <si>
    <t>CISO / Proveedor externo</t>
  </si>
  <si>
    <t>Anual y ante cambios críticos</t>
  </si>
  <si>
    <t>Externo e independiente según SEPS/SB.</t>
  </si>
  <si>
    <t>A.8.8 Gestión de vulnerabilidades técnicas; A.8.29 Pruebas de seguridad; A.8.34 Protección durante pruebas de auditoría</t>
  </si>
  <si>
    <t>Plan de mitigación de hallazgos</t>
  </si>
  <si>
    <t>Gestionar remediación de hallazgos</t>
  </si>
  <si>
    <t>SEPS exige plan de mitigación con análisis comparativo de hallazgos previos; SB exige definir y ejecutar planes de acción sobre vulnerabilidades detectadas.</t>
  </si>
  <si>
    <t>Matriz de hallazgos, criticidad, responsables, fechas, estado, evidencia de remediación, re-test y comparación histórica.</t>
  </si>
  <si>
    <t>Mensual seguimiento</t>
  </si>
  <si>
    <t>Debida diligencia central.</t>
  </si>
  <si>
    <t>Cl. 10.1; A.8.8 Gestión de vulnerabilidades técnicas; A.5.36 Cumplimiento</t>
  </si>
  <si>
    <t>Escaneo de código</t>
  </si>
  <si>
    <t>Escaneo automatizado de vulnerabilidades en código fuente</t>
  </si>
  <si>
    <t>SB exige escaneo automatizado en código fuente previo a liberación y sobre aplicaciones en producción.</t>
  </si>
  <si>
    <t>Herramienta SAST/DAST/SCA, pipeline DevSecOps, registros de escaneo, criterios de aceptación y excepciones aprobadas.</t>
  </si>
  <si>
    <t>Por release / continuo</t>
  </si>
  <si>
    <t>Profundiza desarrollo seguro.</t>
  </si>
  <si>
    <t>A.8.4 Acceso a código fuente; A.8.28 Codificación segura; A.8.29 Pruebas de seguridad</t>
  </si>
  <si>
    <t>Monitoreo</t>
  </si>
  <si>
    <t>Arquitectura segura</t>
  </si>
  <si>
    <t>Diseñar arquitectura segura de defensa en profundidad</t>
  </si>
  <si>
    <t>SEPS Anexo 1 exige arquitectura segura con defensa en profundidad, controles de flujo, aislamiento/segmentación, monitoreo/detección y cifrado; SB exige segmentación, IPS, firewalls, WAF según riesgo.</t>
  </si>
  <si>
    <t>Documento de arquitectura de seguridad, diagramas, segmentación, WAF/IPS/firewall, cifrado, controles de flujo, monitoreo y excepciones.</t>
  </si>
  <si>
    <t>CISO / Arquitectura / TIC</t>
  </si>
  <si>
    <t>Anual y por proyecto</t>
  </si>
  <si>
    <t>Se alinea con ISO 27002 y ciberseguridad.</t>
  </si>
  <si>
    <t>A.8.27 Arquitectura e ingeniería segura; A.8.20 Seguridad de redes; A.8.22 Segregación de redes; A.8.14 Redundancia</t>
  </si>
  <si>
    <t>Logs correlacionados</t>
  </si>
  <si>
    <t>Implementar monitoreo, detección y correlación de logs</t>
  </si>
  <si>
    <t>SEPS exige registros de logs correlacionados de infraestructura crítica con hora, permisos, acceso/salida, cambios, errores, violaciones y tareas fallidas; SB exige registro centralizado de eventos de ciberseguridad y pistas de auditoría.</t>
  </si>
  <si>
    <t>SEPS Anexo 1; SB Art. 25-26</t>
  </si>
  <si>
    <t>SEPS Anexo 1; SB Art. 25/26</t>
  </si>
  <si>
    <t>SIEM/SOC, fuentes de logs, sincronización horaria, casos de uso, retención, alertas, revisión y evidencias de investigación.</t>
  </si>
  <si>
    <t>Control clave de detección.</t>
  </si>
  <si>
    <t>A.8.15 Registro de eventos; A.8.16 Actividades de monitoreo; A.8.17 Sincronización de relojes</t>
  </si>
  <si>
    <t>Antimalware y software autorizado</t>
  </si>
  <si>
    <t>Controlar malware y software no autorizado</t>
  </si>
  <si>
    <t>SB exige políticas/controles para evitar software no autorizado o sin licencia y mantener herramientas de detección/desinfección actualizadas; canales electrónicos deben tener antimalware actualizado.</t>
  </si>
  <si>
    <t>SB Art. 25 y 27; SEPS Anexo 1</t>
  </si>
  <si>
    <t>SB Art. 25/27; SEPS Anexo 1</t>
  </si>
  <si>
    <t>EDR/antimalware, inventario de software, procedimiento de autorización/licenciamiento, reportes de actualización y alertas.</t>
  </si>
  <si>
    <t>Se cruza con gestión de software SEPS.</t>
  </si>
  <si>
    <t>A.8.7 Protección contra malware; A.8.19 Instalación de software; A.8.1 Dispositivos de usuario final</t>
  </si>
  <si>
    <t>Incidentes</t>
  </si>
  <si>
    <t>Gestión de incidentes SI</t>
  </si>
  <si>
    <t>Definir y ejecutar gestión de incidentes de seguridad</t>
  </si>
  <si>
    <t>SEPS asigna al OSI definir y ejecutar procedimientos de incidentes; SB exige ciclo de vida de incidentes/problemas, priorización, escalamiento, solución, monitoreo, lecciones aprendidas y reportes.</t>
  </si>
  <si>
    <t>SEPS Art. 12/20/26; SB Art. 17</t>
  </si>
  <si>
    <t>Procedimiento de incidentes, matriz de severidad, playbooks, roles, canal de reporte, tickets, evidencia de atención y lecciones aprendidas.</t>
  </si>
  <si>
    <t>Homologar incidentes TI, SI y negocio.</t>
  </si>
  <si>
    <t>A.5.24 Planificación de incidentes; A.5.25 Evaluación de eventos; A.5.26 Respuesta a incidentes; A.5.27 Aprendizaje; A.5.28 Evidencia; A.6.8 Reporte de eventos</t>
  </si>
  <si>
    <t>Gestor de incidentes/problemas</t>
  </si>
  <si>
    <t>Asignar responsable de trazabilidad</t>
  </si>
  <si>
    <t>SB exige un gestor de incidentes y problemas responsable de la trazabilidad hasta cierre y registro en base de conocimiento.</t>
  </si>
  <si>
    <t>SB Art. 17</t>
  </si>
  <si>
    <t>Designación de gestor, RACI, flujo de escalamiento, tablero de incidentes/problemas y base de conocimiento.</t>
  </si>
  <si>
    <t>Puede integrarse con mesa de servicios.</t>
  </si>
  <si>
    <t>A.5.24 Planificación de incidentes; A.5.25 Evaluación de eventos; A.5.26 Respuesta a incidentes; A.5.27 Aprendizaje</t>
  </si>
  <si>
    <t>Notificación regulatoria</t>
  </si>
  <si>
    <t>Notificar incidentes críticos o sensibles</t>
  </si>
  <si>
    <t>SEPS exige reporte inmediato de eventos que afecten continuidad/prestación de servicios; SB exige notificar incidentes que afecten procesos/productos/servicios críticos y remitir informe formal en 5 días e informe definitivo de causa raíz en hasta 10 días.</t>
  </si>
  <si>
    <t>SEPS Disposición General Primera; SB Art. 17</t>
  </si>
  <si>
    <t>SEPS Disp. General Primera; SB Art. 17</t>
  </si>
  <si>
    <t>Procedimiento de notificación al regulador, criterios de severidad, plantillas, responsables, cronograma de 5/10 días SB y registro de envío.</t>
  </si>
  <si>
    <t>CISO / Legal / Riesgos / Gerencia</t>
  </si>
  <si>
    <t>Por incidente</t>
  </si>
  <si>
    <t>Usar plazo más estricto aplicable.</t>
  </si>
  <si>
    <t>A.5.5 Contacto con autoridades; A.5.24 Gestión de incidentes; A.5.26 Respuesta; A.5.31 Requisitos regulatorios</t>
  </si>
  <si>
    <t>Pruebas de respuesta</t>
  </si>
  <si>
    <t>Ejecutar pruebas controladas de incidentes y problemas</t>
  </si>
  <si>
    <t>SB exige pruebas controladas de gestión de incidentes/problemas y revisión/actualización de procedimientos.</t>
  </si>
  <si>
    <t>Plan de simulacros/tabletop, evidencia de ejecución, lecciones aprendidas y actualización de playbooks.</t>
  </si>
  <si>
    <t>CISO / TIC / Continuidad</t>
  </si>
  <si>
    <t>Anual/Semestral</t>
  </si>
  <si>
    <t>Relacionado con resiliencia.</t>
  </si>
  <si>
    <t>A.5.24 Planificación de incidentes; A.5.26 Respuesta; A.5.27 Aprendizaje; A.5.29 SI durante interrupciones</t>
  </si>
  <si>
    <t>Ciberseguridad</t>
  </si>
  <si>
    <t>Marco de ciberseguridad</t>
  </si>
  <si>
    <t>Definir estrategia y marco de ciberseguridad</t>
  </si>
  <si>
    <t>SB exige estrategia y marco alineado a mejores prácticas internacionales para identificar, proteger, detectar, responder y recuperar; SEPS Anexo 1 exige ciberseguridad y arquitectura segura.</t>
  </si>
  <si>
    <t>SEPS Anexo 1; SB Art. 26</t>
  </si>
  <si>
    <t>Estrategia de ciberseguridad, mapa de capacidades, controles ID-PR-DE-RS-RC, roadmap, métricas y reportes al CSI.</t>
  </si>
  <si>
    <t>Alineable a NIST CSF.</t>
  </si>
  <si>
    <t>A.5.7 Inteligencia de amenazas; A.5.8 Seguridad en proyectos; A.5.36 Cumplimiento; A.8.27 Arquitectura segura</t>
  </si>
  <si>
    <t>Detectar</t>
  </si>
  <si>
    <t>Registrar y gestionar eventos de ciberseguridad</t>
  </si>
  <si>
    <t>SB exige registro continuo y centralizado de eventos, gestión oportuna para alertas tempranas y roles/responsabilidades de eventos de ciberseguridad.</t>
  </si>
  <si>
    <t>SB Art. 26</t>
  </si>
  <si>
    <t>SIEM/SOC, catálogo de eventos, playbooks, turnos/roles, SLA de triage y evidencia de atención.</t>
  </si>
  <si>
    <t>CISO / SOC</t>
  </si>
  <si>
    <t>Complementa monitoreo SEPS.</t>
  </si>
  <si>
    <t>A.5.7 Inteligencia de amenazas; A.8.15 Registro de eventos; A.8.16 Monitoreo; A.5.25 Evaluación de eventos</t>
  </si>
  <si>
    <t>Responder y recuperar</t>
  </si>
  <si>
    <t>Integrar respuesta ciber con crisis, comunicaciones y continuidad</t>
  </si>
  <si>
    <t>SB exige actividades de respuesta, contención, recuperación y alineación entre protocolos de ciberseguridad, infraestructura, crisis, comunicación y BCP.</t>
  </si>
  <si>
    <t>Plan de respuesta ciber, plan de crisis, matriz de comunicaciones, DRP/BCP integrados, ejercicios y lecciones aprendidas.</t>
  </si>
  <si>
    <t>CISO / Continuidad / Comunicaciones / TIC</t>
  </si>
  <si>
    <t>Anual y por incidente</t>
  </si>
  <si>
    <t>Cubre resiliencia operativa.</t>
  </si>
  <si>
    <t>A.5.26 Respuesta a incidentes; A.5.27 Aprendizaje; A.5.29 SI durante interrupciones; A.5.30 Preparación TIC para continuidad</t>
  </si>
  <si>
    <t>Continuidad</t>
  </si>
  <si>
    <t>Sistema de continuidad</t>
  </si>
  <si>
    <t>Implementar sistema de gestión de continuidad del negocio</t>
  </si>
  <si>
    <t>SB exige SGCN basado en ISO 22301; SEPS Anexo 1 exige planes de contingencia tecnológica y continuidad evaluados periódicamente.</t>
  </si>
  <si>
    <t>SEPS Anexo 1; SB Art. 18-20</t>
  </si>
  <si>
    <t>Política/Manual de continuidad, comité, BIA, estrategias, PCN, DRP, pruebas, informes y mejora continua.</t>
  </si>
  <si>
    <t>Continuidad / Riesgos / CISO / TIC</t>
  </si>
  <si>
    <t>Fuertemente conectado a disponibilidad.</t>
  </si>
  <si>
    <t>A.5.29 SI durante interrupciones; A.5.30 Preparación TIC para continuidad; Cl. 6.1</t>
  </si>
  <si>
    <t>Comité de continuidad</t>
  </si>
  <si>
    <t>Conformar comité de continuidad del negocio</t>
  </si>
  <si>
    <t>SB exige comité con Directorio, representante legal, riesgos, TI, SI, talento humano, responsable de continuidad y participación de áreas críticas/auditoría; reuniones al menos trimestrales.</t>
  </si>
  <si>
    <t>SB Art. 18</t>
  </si>
  <si>
    <t>Reglamento, actas, calendario trimestral, seguimiento de amenazas, presupuesto y reporte al CAIR/Directorio.</t>
  </si>
  <si>
    <t>Continuidad / Gerencia</t>
  </si>
  <si>
    <t>SI participa como miembro.</t>
  </si>
  <si>
    <t>A.5.2 Roles y responsabilidades; A.5.29 SI durante interrupciones; A.5.30 Preparación TIC para continuidad</t>
  </si>
  <si>
    <t>BIA</t>
  </si>
  <si>
    <t>Realizar análisis de impacto al negocio</t>
  </si>
  <si>
    <t>SB exige BIA con procesos críticos, RTO, RPO, dependencias internas/externas y recursos de soporte; revisado anualmente o ante cambios.</t>
  </si>
  <si>
    <t>SB Art. 19</t>
  </si>
  <si>
    <t>BIA aprobado, matriz de procesos críticos, RTO/RPO, dependencias, proveedores, aplicaciones, personal y recursos.</t>
  </si>
  <si>
    <t>Continuidad / Dueños de procesos / CISO</t>
  </si>
  <si>
    <t>Base de PCN/DRP.</t>
  </si>
  <si>
    <t>Cl. 6.1; A.5.29 SI durante interrupciones; A.5.30 Preparación TIC para continuidad</t>
  </si>
  <si>
    <t>Planes de contingencia y DRP</t>
  </si>
  <si>
    <t>Contar con PCN, contingencia tecnológica y recuperación de desastres</t>
  </si>
  <si>
    <t>SB exige plan de continuidad con escenarios, RTO/RPO, estrategias, procedimientos, comunicaciones, emergencias y DRP en ubicación remota; SEPS exige contingencia tecnológica y continuidad.</t>
  </si>
  <si>
    <t>SEPS Anexo 1; SB Art. 20</t>
  </si>
  <si>
    <t>PCN, DRP, procedimientos de recuperación, centro alterno, contactos, roles, criterios de activación y plan de retorno.</t>
  </si>
  <si>
    <t>Continuidad / TIC / CISO</t>
  </si>
  <si>
    <t>Anual y por cambio</t>
  </si>
  <si>
    <t>Plan integrado de resiliencia.</t>
  </si>
  <si>
    <t>A.5.29 SI durante interrupciones; A.5.30 Preparación TIC para continuidad; A.8.13 Respaldo; A.8.14 Redundancia</t>
  </si>
  <si>
    <t>Pruebas de continuidad</t>
  </si>
  <si>
    <t>Probar planes de continuidad y proveedores</t>
  </si>
  <si>
    <t>SB exige pruebas al menos anuales con alcance, detalle, proveedores, conclusiones y recomendaciones; SEPS exige evaluación periódica de planes.</t>
  </si>
  <si>
    <t>SEPS Anexo 1; SB Art. 19</t>
  </si>
  <si>
    <t>Plan de pruebas, ejecución, evidencias, resultados, brechas, acciones correctivas, participación de proveedores y aprobación por instancias.</t>
  </si>
  <si>
    <t>Incluir servicios críticos tercerizados.</t>
  </si>
  <si>
    <t>A.5.29 SI durante interrupciones; A.5.30 Preparación TIC para continuidad; A.8.14 Redundancia</t>
  </si>
  <si>
    <t>Lecciones aprendidas</t>
  </si>
  <si>
    <t>Mantener base de conocimiento de continuidad</t>
  </si>
  <si>
    <t>SB exige base de lecciones aprendidas por pruebas, eventos materializados y debilidades encontradas.</t>
  </si>
  <si>
    <t>Repositorio de lecciones aprendidas, informes post-prueba/post-evento, acciones de mejora y seguimiento.</t>
  </si>
  <si>
    <t>Continuidad / CISO / TIC</t>
  </si>
  <si>
    <t>Después de pruebas/eventos</t>
  </si>
  <si>
    <t>Mejora continua.</t>
  </si>
  <si>
    <t>Cl. 10.2; A.5.27 Aprendizaje de incidentes; A.5.29 SI durante interrupciones</t>
  </si>
  <si>
    <t>Terceros</t>
  </si>
  <si>
    <t>Gestión integral de proveedores</t>
  </si>
  <si>
    <t>Administrar proveedores de servicios en todo el ciclo de vida</t>
  </si>
  <si>
    <t>SB exige proceso integral de administración de proveedores previo a contratación, suscripción, cumplimiento y renovación; SEPS exige verificar servicios de personas naturales/jurídicas y documentación anual de revisiones/certificaciones.</t>
  </si>
  <si>
    <t>SEPS Disp. General Segunda; SB Art. 23</t>
  </si>
  <si>
    <t>Procedimiento de gestión de terceros, due diligence, evaluación, contratación, monitoreo, renovación y salida; checklist de seguridad y PDP.</t>
  </si>
  <si>
    <t>Compras / Legal / CISO / Dueño del contrato</t>
  </si>
  <si>
    <t>Por contratación y anual</t>
  </si>
  <si>
    <t>Diligencia central para SaaS/cloud.</t>
  </si>
  <si>
    <t>A.5.19 Seguridad en relación con proveedores; A.5.20 Seguridad en acuerdos con proveedores; A.5.21 Cadena de suministro TIC; A.5.22 Monitoreo y revisión de servicios de proveedores</t>
  </si>
  <si>
    <t>Due diligence previo</t>
  </si>
  <si>
    <t>Evaluar proveedor antes de contratar</t>
  </si>
  <si>
    <t>SB exige evaluar experiencia, finanzas, auditoría externa, capacidad de servicio/soporte, logística, infraestructura, recursos humanos, riesgo reputacional y riesgos de seguridad/ciber/continuidad.</t>
  </si>
  <si>
    <t>SB Art. 23 núm. 1</t>
  </si>
  <si>
    <t>SB Art. 23</t>
  </si>
  <si>
    <t>Formato de evaluación de terceros, matriz de riesgo, evidencias financieras/técnicas, referencias, certificaciones, informes y aprobación de riesgo.</t>
  </si>
  <si>
    <t>Compras / CISO / Legal / Riesgos</t>
  </si>
  <si>
    <t>Antes de contratar</t>
  </si>
  <si>
    <t>Aplicable también como buena práctica SEPS.</t>
  </si>
  <si>
    <t>A.5.19 Relación con proveedores; A.5.21 Cadena de suministro TIC; A.5.23 Uso de servicios cloud</t>
  </si>
  <si>
    <t>Cláusulas contractuales</t>
  </si>
  <si>
    <t>Incluir cláusulas mínimas de seguridad, continuidad y datos</t>
  </si>
  <si>
    <t>SB exige cláusulas de SLA, garantías, multas, personal, documentación, SI/ciber/PDP, PI, contrapartes, productos/servicios, cumplimiento normativo y auditoría; SEPS exige cláusulas de controles de SI y PDP alineados a estándares internacionales.</t>
  </si>
  <si>
    <t>SEPS Disp. General Tercera; SB Art. 23 núm. 2</t>
  </si>
  <si>
    <t>SEPS Disp. General Tercera; SB Art. 23</t>
  </si>
  <si>
    <t>Anexo de seguridad contractual, SLA, DPA/PDP, derecho de auditoría, continuidad, confidencialidad, notificación incidentes, subcontratación, reversibilidad y salida.</t>
  </si>
  <si>
    <t>Legal / CISO / Compras</t>
  </si>
  <si>
    <t>Por contrato y renovación</t>
  </si>
  <si>
    <t>Control crítico para proveedores.</t>
  </si>
  <si>
    <t>A.5.20 Seguridad en acuerdos con proveedores; A.5.19 Relación con proveedores; A.5.23 Cloud; A.5.34 Privacidad y datos personales</t>
  </si>
  <si>
    <t>Auditorías/certificaciones de proveedores</t>
  </si>
  <si>
    <t>Solicitar y revisar evidencias de controles del proveedor</t>
  </si>
  <si>
    <t>SEPS exige solicitar al menos una vez al año documentación de auditorías/exámenes/certificaciones; SB exige informes o certificaciones vigentes aplicables al servicio en SI/ciber/continuidad.</t>
  </si>
  <si>
    <t>Registro anual de evidencias de proveedores: ISO 27001, SOC, pentest, auditoría, BCP/DRP, controles de datos y planes de remediación.</t>
  </si>
  <si>
    <t>CISO / Dueño del contrato</t>
  </si>
  <si>
    <t>Evidencia para auditoría y supervisión.</t>
  </si>
  <si>
    <t>A.5.22 Monitoreo/revisión de servicios de proveedores; A.5.35 Revisión independiente; A.5.23 Cloud; A.5.36 Cumplimiento</t>
  </si>
  <si>
    <t>Monitoreo contractual</t>
  </si>
  <si>
    <t>Monitorear servicios y niveles acordados de manera independiente</t>
  </si>
  <si>
    <t>SB exige control y monitoreo de servicios contratados, usando información independiente de la del proveedor cuando sea posible.</t>
  </si>
  <si>
    <t>Tablero SLA/KPI/KRI de proveedores, informes de desempeño, evidencias independientes, reuniones de seguimiento y gestión de incumplimientos.</t>
  </si>
  <si>
    <t>Dueño del contrato / CISO / Compras</t>
  </si>
  <si>
    <t>Mensual/Trimestral</t>
  </si>
  <si>
    <t>Complementa controles SEPS.</t>
  </si>
  <si>
    <t>A.5.22 Monitoreo, revisión y gestión de cambios de servicios de proveedores; A.5.20 Acuerdos con proveedores</t>
  </si>
  <si>
    <t>Proveedores alternos</t>
  </si>
  <si>
    <t>Gestionar dependencia de proveedor único</t>
  </si>
  <si>
    <t>SB exige proveedores alternos para servicios que soportan procesos críticos; si hay proveedor único, verificar planes de contingencia/continuidad probados anualmente y sincronizados con tiempos de la entidad.</t>
  </si>
  <si>
    <t>Análisis de dependencia, plan de contingencia proveedor único, pruebas, proveedor alterno o estrategia de salida/reversibilidad.</t>
  </si>
  <si>
    <t>Continuidad / Compras / CISO</t>
  </si>
  <si>
    <t>Clave para continuidad.</t>
  </si>
  <si>
    <t>A.5.19 Relación con proveedores; A.5.22 Monitoreo de proveedores; A.5.29 SI durante interrupciones; A.5.30 Preparación TIC para continuidad</t>
  </si>
  <si>
    <t>Nube</t>
  </si>
  <si>
    <t>Realizar due diligence de servicios cloud</t>
  </si>
  <si>
    <t>SB exige informes técnico, de seguridad y legal para infraestructura, plataforma o software en nube, con identificación de riesgos operativos, legales, tecnológicos, SI/ciber y continuidad.</t>
  </si>
  <si>
    <t>Informe técnico, informe de seguridad, informe legal, arquitectura, riesgos, controles, privacidad, residencia de datos, subprocesadores, salida y reversibilidad.</t>
  </si>
  <si>
    <t>TIC / CISO / Legal</t>
  </si>
  <si>
    <t>Antes de contratar y ante cambios</t>
  </si>
  <si>
    <t>SaaS/IaaS/PaaS.</t>
  </si>
  <si>
    <t>A.5.23 Seguridad para uso de servicios cloud; A.5.19 Relación con proveedores; A.5.20 Acuerdos; A.5.21 Cadena de suministro TIC</t>
  </si>
  <si>
    <t>Cloud crítico</t>
  </si>
  <si>
    <t>Informar a SB servicios cloud asociados a procesos críticos</t>
  </si>
  <si>
    <t>SB exige informar detalle de servicios asociados a procesos críticos: tipo, servicio alojado, arquitectura y análisis de riesgos/controles.</t>
  </si>
  <si>
    <t>Expediente de notificación a SB, inventario de servicios cloud críticos, análisis de riesgos, controles y evidencias de envío.</t>
  </si>
  <si>
    <t>CISO / Legal / TIC</t>
  </si>
  <si>
    <t>Antes de contratar o según disposición</t>
  </si>
  <si>
    <t>Solo entidades SB.</t>
  </si>
  <si>
    <t>A.5.23 Cloud; A.5.31 Requisitos regulatorios; A.5.5 Contacto con autoridades</t>
  </si>
  <si>
    <t>Certificaciones cloud</t>
  </si>
  <si>
    <t>Exigir estándares/certificaciones cloud</t>
  </si>
  <si>
    <t>SB exige para CPD cloud ANSI/TIA-942 o superior y mínimo TIER III equivalente; proveedor cloud debe contar mínimo ISO 27001 e implementación de controles ISO 27017/27018 u otras similares aplicables.</t>
  </si>
  <si>
    <t>Evidencias de TIER III/TIA-942, ISO 27001, ISO 27017/27018, alcance aplicable, vigencia y revisión anual.</t>
  </si>
  <si>
    <t>CISO / TIC / Compras</t>
  </si>
  <si>
    <t>Antes de contratar y anual</t>
  </si>
  <si>
    <t>Muy relevante para SaaS/Cloud.</t>
  </si>
  <si>
    <t>A.5.23 Cloud; A.5.22 Monitoreo/revisión de proveedores; A.5.35 Revisión independiente</t>
  </si>
  <si>
    <t>Bases de datos adquiridas</t>
  </si>
  <si>
    <t>Verificar licitud del origen de bases de datos</t>
  </si>
  <si>
    <t>SB exige procedimientos para asegurar origen lícito de información de personas naturales/jurídicas o de otra naturaleza.</t>
  </si>
  <si>
    <t>Procedimiento de adquisición de datos, due diligence legal/PDP, contrato, trazabilidad de origen, autorización/base legal y registro de evaluación.</t>
  </si>
  <si>
    <t>Legal / DPO / CISO</t>
  </si>
  <si>
    <t>Por adquisición</t>
  </si>
  <si>
    <t>Interseca PDP.</t>
  </si>
  <si>
    <t>A.5.31 Requisitos legales/regulatorios; A.5.34 Privacidad y datos personales; A.5.20 Acuerdos con proveedores; A.5.33 Protección de registros</t>
  </si>
  <si>
    <t>Servicios críticos en exterior</t>
  </si>
  <si>
    <t>Notificar contratación total/parcial de procesos críticos en el exterior</t>
  </si>
  <si>
    <t>SB exige notificar a la Superintendencia de Bancos y adjuntar documentación de respaldo que asegure cumplimiento de la sección según naturaleza del servicio.</t>
  </si>
  <si>
    <t>Expediente de outsourcing internacional, notificación, análisis legal/SI/continuidad, contrato y evidencias de controles.</t>
  </si>
  <si>
    <t>Legal / CISO / TIC</t>
  </si>
  <si>
    <t>Control regulatorio específico.</t>
  </si>
  <si>
    <t>A.5.31 Requisitos regulatorios; A.5.19 Relación con proveedores; A.5.20 Acuerdos; A.5.23 Cloud; A.5.34 Privacidad</t>
  </si>
  <si>
    <t>Cifrado y datos</t>
  </si>
  <si>
    <t>Cifrado de información sensible</t>
  </si>
  <si>
    <t>Cifrar datos sensibles o críticos según riesgo</t>
  </si>
  <si>
    <t>SEPS exige procedimientos de cifrado y verificación periódica de elementos de cifrado; SB exige técnicas de cifrado según análisis de riesgo y protección de información confidencial en transmisión.</t>
  </si>
  <si>
    <t>Política de cifrado, clasificación que dispara cifrado, mecanismos en tránsito/reposo, inventario de llaves/certificados, evidencias de pruebas y revisión.</t>
  </si>
  <si>
    <t>Anual y permanente</t>
  </si>
  <si>
    <t>Aplica a datos sensibles/críticos y canales.</t>
  </si>
  <si>
    <t>A.8.24 Uso de criptografía; A.5.14 Transferencia de información; A.8.12 Prevención de fuga de datos</t>
  </si>
  <si>
    <t>Gestión de llaves</t>
  </si>
  <si>
    <t>Controlar uso, protección y vida útil de llaves criptográficas</t>
  </si>
  <si>
    <t>SB exige procedimientos para uso, protección y tiempo de vida de llaves criptográficas usadas para cifrar información.</t>
  </si>
  <si>
    <t>Procedimiento KMS, rotación, custodia, separación de funciones, revocación, renovación de certificados y logs de uso.</t>
  </si>
  <si>
    <t>Según ciclo de vida / anual</t>
  </si>
  <si>
    <t>Complementa cifrado SEPS.</t>
  </si>
  <si>
    <t>A.8.24 Uso de criptografía; A.5.17 Información de autenticación; A.5.18 Derechos de acceso</t>
  </si>
  <si>
    <t>Protección de datos personales</t>
  </si>
  <si>
    <t>Incorporar controles de PDP en seguridad y terceros</t>
  </si>
  <si>
    <t>SEPS exige cláusulas contractuales de seguridad y protección de datos personales; SB incluye PDP en proveedores, canales y protección de información confidencial.</t>
  </si>
  <si>
    <t>SEPS Disp. General Tercera; SB Art. 23, 27</t>
  </si>
  <si>
    <t>Anexo PDP, cláusulas DPA, controles de minimización, cifrado, acceso, retención, incidentes, subencargados y evidencias de cumplimiento.</t>
  </si>
  <si>
    <t>Por contrato/proceso</t>
  </si>
  <si>
    <t>Coordinar con DPO.</t>
  </si>
  <si>
    <t>A.5.34 Privacidad y protección de datos personales; A.5.31 Requisitos legales; A.5.20 Acuerdos con proveedores; A.8.12 Prevención de fuga; A.8.24 Criptografía</t>
  </si>
  <si>
    <t>Enmascaramiento</t>
  </si>
  <si>
    <t>Enmascarar información confidencial en desarrollo, pruebas y comunicaciones</t>
  </si>
  <si>
    <t>SB exige que información de clientes enviada por medios electrónicos sea enmascarada y que ambientes de desarrollo/pruebas usen información enmascarada o codificada por personal independiente.</t>
  </si>
  <si>
    <t>SB Art. 27</t>
  </si>
  <si>
    <t>Procedimiento de data masking, controles DLP, evidencias en ambientes no productivos y criterios de comunicación segura.</t>
  </si>
  <si>
    <t>TIC / CISO / DPO</t>
  </si>
  <si>
    <t>Clave para privacidad.</t>
  </si>
  <si>
    <t>A.8.11 Enmascaramiento de datos; A.8.33 Información de prueba; A.8.12 Prevención de fuga de datos</t>
  </si>
  <si>
    <t>Canales electrónicos</t>
  </si>
  <si>
    <t>Estándares de canales</t>
  </si>
  <si>
    <t>Aplicar estándares y buenas prácticas internacionales en canales y tarjetas</t>
  </si>
  <si>
    <t>SB exige adoptar, implementar y monitorear estándares de seguridad de la información y ciberseguridad para canales electrónicos y consumos con tarjetas.</t>
  </si>
  <si>
    <t>Marco de seguridad de canales, controles por canal, evaluación de cumplimiento, monitoreo y reportes al CSI.</t>
  </si>
  <si>
    <t>CISO / TIC / Canales</t>
  </si>
  <si>
    <t>Permanente / trimestral</t>
  </si>
  <si>
    <t>Solo si aplica canales.</t>
  </si>
  <si>
    <t>A.5.31 Requisitos regulatorios; A.5.36 Cumplimiento; A.8.20 Seguridad de redes; A.8.21 Servicios de red; A.8.24 Criptografía</t>
  </si>
  <si>
    <t>Monitoreo trimestral de canales</t>
  </si>
  <si>
    <t>Reportar efectividad de seguridad de canales al CSI</t>
  </si>
  <si>
    <t>SB exige monitorear periódicamente efectividad de niveles de seguridad en hardware, software, redes, comunicaciones y otros elementos de canales, generando informes trimestrales al CSI.</t>
  </si>
  <si>
    <t>Informe trimestral de seguridad de canales, pruebas, hallazgos, indicadores, incidentes y acciones correctivas.</t>
  </si>
  <si>
    <t>CISO / Canales / TIC</t>
  </si>
  <si>
    <t>Canales electrónicos.</t>
  </si>
  <si>
    <t>A.8.15 Registro de eventos; A.8.16 Actividades de monitoreo; A.5.36 Cumplimiento; A.5.35 Revisión independiente</t>
  </si>
  <si>
    <t>Transmisión segura</t>
  </si>
  <si>
    <t>Usar canales seguros y cifrado en transacciones/comunicaciones</t>
  </si>
  <si>
    <t>SB exige canales de comunicación seguros, cifrado según estándares internacionales y evaluación regular de efectividad.</t>
  </si>
  <si>
    <t>SB Art. 27 y 30</t>
  </si>
  <si>
    <t>SB Art. 27/30</t>
  </si>
  <si>
    <t>Certificados, TLS seguro, hardening, pruebas SSL/TLS, cifrado de datos transmitidos y evidencia de revisión.</t>
  </si>
  <si>
    <t>Permanente / semestral</t>
  </si>
  <si>
    <t>Incluye banca electrónica.</t>
  </si>
  <si>
    <t>A.5.14 Transferencia de información; A.8.20 Seguridad de redes; A.8.21 Servicios de red; A.8.24 Criptografía</t>
  </si>
  <si>
    <t>Pentest de canales</t>
  </si>
  <si>
    <t>Ejecutar pruebas anuales de vulnerabilidad y penetración en canales/tarjetas</t>
  </si>
  <si>
    <t>SB exige prueba anual o ante cambios relevantes, ejecutada por persona natural/jurídica independiente y competente, con planes de acción.</t>
  </si>
  <si>
    <t>Alcance de canales, informes, plan de acción, comparación con informe anterior y disponibilidad para SB.</t>
  </si>
  <si>
    <t>Anual y ante cambios</t>
  </si>
  <si>
    <t>Similar a pentesting SGSI.</t>
  </si>
  <si>
    <t>A.8.8 Gestión de vulnerabilidades técnicas; A.8.29 Pruebas de seguridad; A.8.34 Protección durante auditorías; A.5.35 Revisión independiente</t>
  </si>
  <si>
    <t>Autenticación fuerte</t>
  </si>
  <si>
    <t>Aplicar autenticación fuerte en operaciones sensibles</t>
  </si>
  <si>
    <t>SB exige autenticación fuerte para personalización, cambio de contacto, ingreso y transacciones monetarias a cuentas no registradas, con factores dinámicos/OTP/biometría/token.</t>
  </si>
  <si>
    <t>SB Art. 27, 30, 31</t>
  </si>
  <si>
    <t>SB Art. 27/30/31</t>
  </si>
  <si>
    <t>MFA/OTP, validaciones, evidencias de cambios de contacto, controles de inscripción y pruebas de funcionamiento.</t>
  </si>
  <si>
    <t>TIC / Canales / CISO</t>
  </si>
  <si>
    <t>Canales electrónicos y banca móvil/electrónica.</t>
  </si>
  <si>
    <t>A.5.15 Control de acceso; A.5.17 Información de autenticación; A.5.18 Derechos de acceso; A.8.5 Autenticación segura</t>
  </si>
  <si>
    <t>Gestión de claves</t>
  </si>
  <si>
    <t>Renovar y proteger claves de acceso</t>
  </si>
  <si>
    <t>SB exige renovación al menos anual de claves de canales/tarjetas; claves de banca electrónica y móvil deben ser distintas de otros canales; las claves deben aparecer enmascaradas.</t>
  </si>
  <si>
    <t>Política de contraseñas/canales, parámetros, renovación anual, enmascaramiento, longitud mínima y controles de no reutilización.</t>
  </si>
  <si>
    <t>TIC / CISO / Canales</t>
  </si>
  <si>
    <t>Anual / permanente</t>
  </si>
  <si>
    <t>Revisar compatibilidad con UX y riesgo.</t>
  </si>
  <si>
    <t>A.5.17 Información de autenticación; A.8.5 Autenticación segura; A.8.24 Criptografía</t>
  </si>
  <si>
    <t>Prevención de fraude</t>
  </si>
  <si>
    <t>Monitorear transacciones y comportamiento de clientes</t>
  </si>
  <si>
    <t>SB exige sistemas digitales e inteligentes de prevención de fraude, alertas al cliente, evidencia de notificaciones y bloqueo ante eventos inusuales o tres intentos fallidos.</t>
  </si>
  <si>
    <t>Motor antifraude, reglas, alertas, bloqueo/reactivación segura, notificaciones y evidencias para reclamos.</t>
  </si>
  <si>
    <t>Canales / Riesgos / CISO</t>
  </si>
  <si>
    <t>Aplica a canales y tarjetas.</t>
  </si>
  <si>
    <t>A.8.15 Registro de eventos; A.8.16 Actividades de monitoreo; A.5.25 Evaluación de eventos; A.5.26 Respuesta a incidentes</t>
  </si>
  <si>
    <t>Registros de transacciones</t>
  </si>
  <si>
    <t>Conservar histórico de transacciones mínimo 12 meses</t>
  </si>
  <si>
    <t>SB exige registros de transacciones en canales/tarjetas por mínimo 12 meses con campos mínimos; en reclamos conservar hasta agotar instancias legales.</t>
  </si>
  <si>
    <t>Política de retención, logs transaccionales, campos requeridos, integridad, disponibilidad para reclamos y respaldo contable si aplica.</t>
  </si>
  <si>
    <t>Canales / TIC / Legal</t>
  </si>
  <si>
    <t>Incluir IP, ATM, IVR, contactos notificados.</t>
  </si>
  <si>
    <t>A.5.33 Protección de registros; A.8.15 Registro de eventos; A.8.17 Sincronización de relojes; A.5.28 Recolección de evidencia</t>
  </si>
  <si>
    <t>Acceso de funcionarios a información de clientes</t>
  </si>
  <si>
    <t>Impedir consulta no autorizada y monitorear consultas</t>
  </si>
  <si>
    <t>SB exige controles para impedir acceso no autorizado a información confidencial de clientes y log de auditoría de consultas con retención mínima 12 meses.</t>
  </si>
  <si>
    <t>Control de accesos, segregación, monitoreo, log de consultas, reportes de revisión y alertas.</t>
  </si>
  <si>
    <t>Mensual / permanente</t>
  </si>
  <si>
    <t>Cruce con control de accesos.</t>
  </si>
  <si>
    <t>A.5.15 Control de acceso; A.5.16 Gestión de identidades; A.5.18 Derechos de acceso; A.8.3 Restricción de acceso; A.8.15 Registro; A.8.16 Monitoreo; A.5.34 Privacidad</t>
  </si>
  <si>
    <t>Atención 24/7 emergencias</t>
  </si>
  <si>
    <t>Habilitar reporte y bloqueo de emergencias bancarias 24/7</t>
  </si>
  <si>
    <t>SB exige acceso directo para reporte de emergencias bancarias 24/7 y procedimientos de seguridad/autenticación para suspender/bloquear/cancelar canales/tarjetas.</t>
  </si>
  <si>
    <t>Procedimiento call center/emergencias, pruebas, registros, grabaciones, autenticación y SLA de bloqueo.</t>
  </si>
  <si>
    <t>Canales / Servicio al Cliente / CISO</t>
  </si>
  <si>
    <t>Si aplica a entidad financiera.</t>
  </si>
  <si>
    <t>A.5.24 Planificación de incidentes; A.5.26 Respuesta a incidentes; A.6.8 Reporte de eventos; A.5.30 Preparación TIC para continuidad</t>
  </si>
  <si>
    <t>Notificaciones a clientes</t>
  </si>
  <si>
    <t>Notificar transacciones monetarias y accesos</t>
  </si>
  <si>
    <t>SB exige mensajes en línea por mensajería móvil, correo u otro mecanismo para transacciones, accesos a banca electrónica y cambios relevantes.</t>
  </si>
  <si>
    <t>Mecanismo de notificaciones, evidencia de envío, parametrización por cliente, pruebas y monitoreo de fallos.</t>
  </si>
  <si>
    <t>Canales / TIC</t>
  </si>
  <si>
    <t>Apoya detección de fraude.</t>
  </si>
  <si>
    <t>A.5.14 Transferencia de información; A.5.24 Gestión de incidentes; A.5.26 Respuesta; A.6.8 Reporte de eventos</t>
  </si>
  <si>
    <t>Banca electrónica</t>
  </si>
  <si>
    <t>Implementar controles específicos de banca electrónica</t>
  </si>
  <si>
    <t>SB exige algoritmos/protocolos/certificados seguros, anti-phishing, timeout, último ingreso, sesión única, detección de copia/modificación de web/DNS/certificados, usuario distinto de cédula, clave alfanumérica mínima 6 y MFA.</t>
  </si>
  <si>
    <t>SB Art. 30</t>
  </si>
  <si>
    <t>Checklist técnico banca electrónica, hardening web, certificados, WAF/anti-phishing, session management, MFA y pruebas de seguridad.</t>
  </si>
  <si>
    <t>Permanente / anual</t>
  </si>
  <si>
    <t>Si existe banca electrónica.</t>
  </si>
  <si>
    <t>A.8.20 Seguridad de redes; A.8.21 Servicios de red; A.8.23 Filtrado web; A.8.24 Criptografía; A.8.27 Arquitectura segura; A.8.29 Pruebas; A.8.5 Autenticación segura</t>
  </si>
  <si>
    <t>Banca móvil/IVR/CNB</t>
  </si>
  <si>
    <t>Aplicar controles de canales a banca móvil, IVR y corresponsales</t>
  </si>
  <si>
    <t>SB exige que banca móvil cumpla numerales aplicables de banca electrónica; IVR y corresponsales deben sujetarse a medidas de seguridad de canales, banca electrónica, POS/PIN Pad según corresponda.</t>
  </si>
  <si>
    <t>SB Art. 31-33</t>
  </si>
  <si>
    <t>SB Art. 31/32/33</t>
  </si>
  <si>
    <t>Matriz de controles por canal, pruebas, contratos/controles de corresponsales, monitoreo y evidencias.</t>
  </si>
  <si>
    <t>Canales / CISO / TIC</t>
  </si>
  <si>
    <t>Aplica según canales habilitados.</t>
  </si>
  <si>
    <t>A.8.20 Seguridad de redes; A.8.21 Servicios de red; A.8.24 Criptografía; A.8.5 Autenticación segura; A.5.19/A.5.20/A.5.21 Proveedores y cadena TIC</t>
  </si>
  <si>
    <t>ATM</t>
  </si>
  <si>
    <t>Implementar controles de seguridad en cajeros automáticos</t>
  </si>
  <si>
    <t>SB exige cifrado de información ingresada, no almacenar claves, autenticación interna del ATM, estándares de seguridad, cambio de contraseñas/parámetros y auditoría anual independiente.</t>
  </si>
  <si>
    <t>SB Art. 28</t>
  </si>
  <si>
    <t>Checklist ATM, auditoría anual, hardening, gestión de claves, autenticación de dispositivos y evidencias de configuración.</t>
  </si>
  <si>
    <t>Canales / TIC / CISO</t>
  </si>
  <si>
    <t>Si aplica ATM.</t>
  </si>
  <si>
    <t>A.8.24 Criptografía; A.8.5 Autenticación segura; A.8.9 Gestión de configuración; A.8.15 Registro de eventos; A.8.34 Protección durante auditorías</t>
  </si>
  <si>
    <t>POS/PIN Pad</t>
  </si>
  <si>
    <t>Implementar controles en puntos de venta</t>
  </si>
  <si>
    <t>SB exige identificación de técnicos autorizados, comunicaciones inalámbricas seguras y restricción de consumos consecutivos en el mismo establecimiento.</t>
  </si>
  <si>
    <t>SB Art. 29</t>
  </si>
  <si>
    <t>Procedimiento POS/PIN Pad, registro de técnicos, controles de comunicación, reglas antifraude y evidencias.</t>
  </si>
  <si>
    <t>Canales / CISO / Proveedores</t>
  </si>
  <si>
    <t>Si aplica POS.</t>
  </si>
  <si>
    <t>A.8.20 Seguridad de redes; A.8.21 Servicios de red; A.8.24 Criptografía; A.8.15 Registro de eventos; A.5.19 Relación con proveedores</t>
  </si>
  <si>
    <t>Tarjetas</t>
  </si>
  <si>
    <t>Adoptar tarjetas con chip/NFC y estándares vigentes</t>
  </si>
  <si>
    <t>SB exige tarjetas con microprocesador/chip, posible NFC y adopción de estándares internacionales de seguridad y mejores prácticas.</t>
  </si>
  <si>
    <t>Especificación de tarjetas, certificaciones, pruebas de seguridad, reglas de uso y capacitación al cliente.</t>
  </si>
  <si>
    <t>Canales / Operaciones / CISO</t>
  </si>
  <si>
    <t>Por emisión/revisión anual</t>
  </si>
  <si>
    <t>Si aplica tarjetas.</t>
  </si>
  <si>
    <t>A.8.24 Criptografía; A.8.20 Seguridad de redes; A.8.21 Servicios de red; A.5.31 Requisitos regulatorios</t>
  </si>
  <si>
    <t>Disposiciones</t>
  </si>
  <si>
    <t>Seguro contra fraude/ciber</t>
  </si>
  <si>
    <t>Contratar pólizas anuales contra fraudes tecnológicos</t>
  </si>
  <si>
    <t>SB exige pólizas de seguro privado que cubran revelación ilegal de bases de datos, interceptación ilegal, transferencia electrónica del activo patrimonial y ataque a la integridad de sistemas informáticos.</t>
  </si>
  <si>
    <t>SB Disposición General Primera</t>
  </si>
  <si>
    <t>Póliza vigente, condiciones, coberturas mínimas, límites, exclusiones y evidencia de revisión anual.</t>
  </si>
  <si>
    <t>Riesgos / Finanzas / CISO</t>
  </si>
  <si>
    <t>Revisar con gestión de riesgos.</t>
  </si>
  <si>
    <t>A.5.31 Requisitos legales/regulatorios; A.5.36 Cumplimiento; relacionado con tratamiento financiero de riesgo residual</t>
  </si>
  <si>
    <t>Reporte de Valor de Riesgo Operativo</t>
  </si>
  <si>
    <t>Reportar anualmente el Valor de Riesgo Operativo</t>
  </si>
  <si>
    <t>SB exige reporte anual del Valor de Riesgo Operativo conforme nota metodológica emitida por la Superintendencia de Bancos.</t>
  </si>
  <si>
    <t>SB Disposición General Tercera</t>
  </si>
  <si>
    <t>Cálculo VRO, metodología, evidencias de datos, aprobación interna y reporte anual al regulador.</t>
  </si>
  <si>
    <t>No es exclusivo de SI, pero incluye eventos SI.</t>
  </si>
  <si>
    <t>Cl. 9.1; A.5.31 Requisitos regulatorios; A.5.36 Cumplimiento</t>
  </si>
  <si>
    <t>Reporte trimestral eventos RO</t>
  </si>
  <si>
    <t>Preparar información para reporte trimestral de eventos de riesgo operativo</t>
  </si>
  <si>
    <t>SB indica que el ente de control emitirá manual de estructura para reporte trimestral de eventos de riesgos operativos.</t>
  </si>
  <si>
    <t>SB Disposición General Cuarta</t>
  </si>
  <si>
    <t>Base de eventos con estructura reportable, validación de datos, proceso de envío y evidencias.</t>
  </si>
  <si>
    <t>Relacionar eventos de SI.</t>
  </si>
  <si>
    <t>A.5.31 Requisitos regulatorios; A.5.33 Protección de registros; A.5.36 Cumplimiento; A.5.24 Gestión de incidentes</t>
  </si>
  <si>
    <t>Supervisión</t>
  </si>
  <si>
    <t>Mantener evidencia disponible para el organismo de control</t>
  </si>
  <si>
    <t>SB puede supervisar en cualquier momento; SEPS exige poner informes a disposición cuando lo requiera y puede solicitar información sin perjuicio de reportes inmediatos.</t>
  </si>
  <si>
    <t>SEPS Art. 12/20/26 y Disp. General Primera; SB Disp. General Quinta</t>
  </si>
  <si>
    <t>Repositorio de evidencias organizado por requisito, índice de cumplimiento, responsables y protocolo de atención a requerimientos regulatorios.</t>
  </si>
  <si>
    <t>CISO / Cumplimiento / Legal</t>
  </si>
  <si>
    <t>Due diligence preparado para inspección.</t>
  </si>
  <si>
    <t>A.5.31 Requisitos regulatorios; A.5.33 Protección de registros; A.5.35 Revisión independiente; A.5.36 Cumplimiento</t>
  </si>
  <si>
    <t>Plazos de implementación</t>
  </si>
  <si>
    <t>Gestionar cumplimiento de plazos regulatorios</t>
  </si>
  <si>
    <t>SEPS estableció plazos por segmento/tipo de entidad; SB transitoria estableció 120 días para SI, canales, continuidad y terceros, y 150 días para los demás desde expedición, con revisión de Auditoría Interna.</t>
  </si>
  <si>
    <t>SEPS Transitoria Primera y Segunda; SB Transitoria Primera</t>
  </si>
  <si>
    <t>Cronograma normativo, línea base, validación de auditoría interna, actas de avance y evidencias de cumplimiento.</t>
  </si>
  <si>
    <t>CISO / Auditoría Interna / Gerencia</t>
  </si>
  <si>
    <t>Según cronograma regulatorio</t>
  </si>
  <si>
    <t>Validar vigencia y eventuales reformas.</t>
  </si>
  <si>
    <t>Cl. 6.2, 10.1; A.5.31 Requisitos regulatorios; A.5.36 Cumplimiento</t>
  </si>
  <si>
    <t>Due diligence unificado SB + SEPS</t>
  </si>
  <si>
    <t>Fecha de generación</t>
  </si>
  <si>
    <t>2026-06-16 20:17</t>
  </si>
  <si>
    <t>Fuente documental</t>
  </si>
  <si>
    <t>SEPS Resolución 2022-002 y SB Libro I, Título IX, Capítulo V - Riesgo Operativo, conforme archivos adjuntos</t>
  </si>
  <si>
    <t>Escala de valoración</t>
  </si>
  <si>
    <t>1 = Cumple | 0.5 = Parcial | 0 = No cumple | N/A = No aplica | blanco = Por evaluar</t>
  </si>
  <si>
    <t>Indicador</t>
  </si>
  <si>
    <t>Valor</t>
  </si>
  <si>
    <t>Cantidad</t>
  </si>
  <si>
    <t>Total de requisitos</t>
  </si>
  <si>
    <t>Cumple</t>
  </si>
  <si>
    <t>Parcial</t>
  </si>
  <si>
    <t>No cumple</t>
  </si>
  <si>
    <t>No aplica</t>
  </si>
  <si>
    <t>Por evaluar</t>
  </si>
  <si>
    <t>% cumplimiento evaluado</t>
  </si>
  <si>
    <t>Conteo por normativa</t>
  </si>
  <si>
    <t>Campo</t>
  </si>
  <si>
    <t>Uso</t>
  </si>
  <si>
    <t>Valor cumplimiento</t>
  </si>
  <si>
    <t>Registrar 1 si cumple con evidencia suficiente; 0.5 si cumple parcialmente; 0 si no cumple; N/A si no aplica; dejar en blanco mientras no se haya revisado evidencia.</t>
  </si>
  <si>
    <t>Se calcula en función del valor registrado.</t>
  </si>
  <si>
    <t>Colocar documento, acta, informe, enlace interno, ticket, captura o referencia de evidencia.</t>
  </si>
  <si>
    <t>Describir la brecha puntual, condición actual o aclaración de aplicabilidad.</t>
  </si>
  <si>
    <t>Usar el plazo normativo o frecuencia de revisión/prueba establecida.</t>
  </si>
  <si>
    <t>R1 = extracción del requerimiento desde artículos; R2 = contraste con anexos; R3 = cruce de equivalencias SB/SEPS y eliminación de duplicidades.</t>
  </si>
  <si>
    <t>Nota</t>
  </si>
  <si>
    <t>La matriz está construida sobre los documentos adjuntos. Antes de presentar a entes de control, validar vigencia de las resoluciones en los portales oficiales.</t>
  </si>
  <si>
    <t>Mapeo referencial contra cláusulas del SGSI y controles del Anexo A de ISO/IEC 27001:2022. Cuando existan varios controles, se listan los principales aplicables; debe validarse contra la versión oficial/licenciada de la norma antes de auditoría formal.</t>
  </si>
  <si>
    <t>Corrección aplicada</t>
  </si>
  <si>
    <t>El valor 0.5 se interpreta como PARCIAL, no como No cumple. La fórmula de Estado automático acepta 0.5 como número o texto.</t>
  </si>
  <si>
    <t>Cobertura efectiva documentada</t>
  </si>
  <si>
    <t>Indicador conservador: Cumple + 0.5*Parcial dividido para todos los requisitos evaluables.</t>
  </si>
  <si>
    <t>Avance de evaluación</t>
  </si>
  <si>
    <t>Mide qué porcentaje de requisitos ya tiene estado Cumple / Parcial / No cumple; excluye No aplica.</t>
  </si>
  <si>
    <t>Brecha abierta</t>
  </si>
  <si>
    <t>Suma de Parcial + No cumple. Por evaluar se gestiona como brecha de evidencia, no como incumplimiento confirmado.</t>
  </si>
  <si>
    <t>Plan sugerido</t>
  </si>
  <si>
    <t>La fase del plan se calcula en la matriz según dominio y estado; se resume en Dashboard_Decision y Plan_Cumplimiento.</t>
  </si>
  <si>
    <t>Uso ejecutivo</t>
  </si>
  <si>
    <t>Para Comité, revisar cobertura documentada, brechas de alta prioridad y avance de evaluación antes del porcentaje de cumplimiento evaluado.</t>
  </si>
  <si>
    <t>Revisión</t>
  </si>
  <si>
    <t>Objetivo</t>
  </si>
  <si>
    <t>Resultado</t>
  </si>
  <si>
    <t>R1 - Primera extracción normativa</t>
  </si>
  <si>
    <t>Levantamiento de requisitos desde artículos y disposiciones de SEPS/SB.</t>
  </si>
  <si>
    <t>Completado: artículos principales, disposiciones y secciones de SI/RO/continuidad/terceros/canales.</t>
  </si>
  <si>
    <t>R2 - Contraste con anexos</t>
  </si>
  <si>
    <t>Revisión de Anexo 1 y Anexo 2 SEPS; Anexo 1 SB de eventos de riesgo operativo.</t>
  </si>
  <si>
    <t>Completado: controles obligatorios, metodología de riesgos y taxonomía de eventos fueron integrados.</t>
  </si>
  <si>
    <t>R3 - Cruce unificado</t>
  </si>
  <si>
    <t>Agrupación por dominios para evitar duplicidad y dejar trazabilidad por normativa.</t>
  </si>
  <si>
    <t>Completado: rows marcadas como SB, SEPS o Ambas con referencia normativa específica.</t>
  </si>
  <si>
    <t>R4 - Preparación para evaluación</t>
  </si>
  <si>
    <t>Crear escala de valoración y resumen ejecutivo.</t>
  </si>
  <si>
    <t>Completado: valores 1/0.5/0/N/A y dashboard con fórmulas.</t>
  </si>
  <si>
    <t>R5 - Métricas y dashboard ejecutivo</t>
  </si>
  <si>
    <t>Creación de métricas, dashboard, plan priorizado y corrección de interpretación de 0.5.</t>
  </si>
  <si>
    <t>Completado: 0.5 = Parcial; dashboard y plan dinámico agregados.</t>
  </si>
  <si>
    <t>Documento base</t>
  </si>
  <si>
    <t>Alcance usado en la matriz</t>
  </si>
  <si>
    <t>Resolución No. SEPS-IGS-IGT-IGJ-IGDO-INGINT-INTIC-INSESF-INR-DNSI-2022-002</t>
  </si>
  <si>
    <t>Capítulos de seguridad de la información por régimen, disposiciones generales/transitorias, Anexo 1 controles obligatorios y Anexo 2 metodología de riesgos.</t>
  </si>
  <si>
    <t>Codificación SB, Libro I, Título IX, Capítulo V - Norma de control para la gestión del riesgo operativo</t>
  </si>
  <si>
    <t>Artículos de administración de riesgo operativo, tecnología, incidentes, continuidad, terceros, seguridad de la información, ciberseguridad, canales electrónicos y disposiciones generales/transitorias.</t>
  </si>
  <si>
    <t>Criterio de unificación</t>
  </si>
  <si>
    <t>Matriz de cumplimiento</t>
  </si>
  <si>
    <t>Se consolidaron requisitos equivalentes como 'Ambas' y se mantuvieron requisitos específicos como 'SB' o 'SEPS'.</t>
  </si>
  <si>
    <t>ISO/IEC 27001:2022</t>
  </si>
  <si>
    <t>Mapeo referencial de controles</t>
  </si>
  <si>
    <t>La columna agregada identifica cláusulas y controles del Anexo A asociados a cada requisito SB/SEPS; no sustituye la revisión de la norma ISO oficial/licenciada.</t>
  </si>
  <si>
    <t>Métricas de cumplimiento normativo SB + SEPS | generado 2026-06-16 22:12</t>
  </si>
  <si>
    <t>Estado</t>
  </si>
  <si>
    <t>Total</t>
  </si>
  <si>
    <t>Total requisitos</t>
  </si>
  <si>
    <t>Evaluables</t>
  </si>
  <si>
    <t>Baja</t>
  </si>
  <si>
    <t>Evaluados</t>
  </si>
  <si>
    <t>Pendientes por evaluar</t>
  </si>
  <si>
    <t>Avance evaluación</t>
  </si>
  <si>
    <t>Revisar valor</t>
  </si>
  <si>
    <t>Puntaje cumplimiento evaluado</t>
  </si>
  <si>
    <t>Brechas abiertas</t>
  </si>
  <si>
    <t>Brechas alta prioridad</t>
  </si>
  <si>
    <t>Evidencias registradas</t>
  </si>
  <si>
    <t>% evidencia sobre evaluables</t>
  </si>
  <si>
    <t>Cumplimiento evaluado</t>
  </si>
  <si>
    <t>Brechas</t>
  </si>
  <si>
    <t>Brecha alta prioridad</t>
  </si>
  <si>
    <t>Fase sugerida</t>
  </si>
  <si>
    <t>Fase 0 - Evidencia/aplicabilidad</t>
  </si>
  <si>
    <t>Fase 1 - Gobierno y SGSI</t>
  </si>
  <si>
    <t>Fase 2 - Riesgos y operación</t>
  </si>
  <si>
    <t>Fase 3 - Continuidad y terceros</t>
  </si>
  <si>
    <t>Fase 4 - Controles técnicos</t>
  </si>
  <si>
    <t>Fase 5 - Canales y datos</t>
  </si>
  <si>
    <t>Mantenimiento</t>
  </si>
  <si>
    <t>Dashboard Ejecutivo - Due Diligence SB + SEPS / Seguridad de la Información</t>
  </si>
  <si>
    <t>Lectura ejecutiva: 0.5 se interpreta como PARCIAL. Los pendientes por evaluar no son incumplimientos confirmados; son brechas de evidencia/aplicabilidad que deben cerrarse primero.</t>
  </si>
  <si>
    <t>Decisión / Lectura</t>
  </si>
  <si>
    <t>Criterio práctico para priorizar</t>
  </si>
  <si>
    <t>1. Primero cerrar evidencia</t>
  </si>
  <si>
    <t>Todo estado “Por evaluar” debe revisarse antes de declarar cumplimiento o incumplimiento.</t>
  </si>
  <si>
    <t>2. Atacar brechas de Alta prioridad</t>
  </si>
  <si>
    <t>Combinar prioridad Alta + estado Parcial/No cumple + dominios de gobierno, riesgos, continuidad, terceros y tecnología.</t>
  </si>
  <si>
    <t>3. Usar cobertura documentada</t>
  </si>
  <si>
    <t>Mide lo evidenciado contra todo lo aplicable; es el indicador conservador para comité.</t>
  </si>
  <si>
    <t>4. Mantener trazabilidad</t>
  </si>
  <si>
    <t>Toda celda con 1 o 0.5 debe tener evidencia suficiente y responsable asignado.</t>
  </si>
  <si>
    <t>Alta prioridad</t>
  </si>
  <si>
    <t>Pendientes evaluar</t>
  </si>
  <si>
    <t>Uso recomendado: ingresar el valor de cumplimiento en la columna J de la matriz, adjuntar evidencia en la columna L y utilizar la fase sugerida para priorizar el plan de cierre.</t>
  </si>
  <si>
    <t>Plan de cumplimiento normativo priorizado - SB + SEPS / Seguridad de la Información</t>
  </si>
  <si>
    <t>El plan se alimenta de la matriz. Se recomienda ejecutar primero la Fase 0 para convertir “Por evaluar” en Cumple / Parcial / No cumple con evidencia.</t>
  </si>
  <si>
    <t>Fase</t>
  </si>
  <si>
    <t>Objetivo de decisión</t>
  </si>
  <si>
    <t>Criterio de inclusión</t>
  </si>
  <si>
    <t>Cantidad dinámica</t>
  </si>
  <si>
    <t>Prioridad inicial</t>
  </si>
  <si>
    <t>Plazo sugerido</t>
  </si>
  <si>
    <t>Actividad principal</t>
  </si>
  <si>
    <t>Evidencia mínima requerida</t>
  </si>
  <si>
    <t>Indicador de cierre</t>
  </si>
  <si>
    <t>Riesgo de no ejecución</t>
  </si>
  <si>
    <t>Observación</t>
  </si>
  <si>
    <t>Confirmar aplicabilidad y estado real de cumplimiento</t>
  </si>
  <si>
    <t>Estado Por evaluar</t>
  </si>
  <si>
    <t>0-15 / 0-30 días</t>
  </si>
  <si>
    <t>Levantar evidencia, responsables y justificación de aplicabilidad por cada requerimiento</t>
  </si>
  <si>
    <t>Evidencia documental, actas, tickets, políticas, contratos, reportes o capturas verificables</t>
  </si>
  <si>
    <t>CISO / Cumplimiento / Dueños de proceso</t>
  </si>
  <si>
    <t>100% de ítems con estado definido</t>
  </si>
  <si>
    <t>Decisiones sin evidencia o falsos incumplimientos</t>
  </si>
  <si>
    <t>No declarar incumplimiento sin revisión de evidencia.</t>
  </si>
  <si>
    <t>Asegurar estructura de gobierno y base documental del SGSI</t>
  </si>
  <si>
    <t>Gobernanza, SGSI, contexto y alcance con Parcial/No cumple</t>
  </si>
  <si>
    <t>0-30 / 0-45 días</t>
  </si>
  <si>
    <t>Formalizar comité, roles, PESI, alcance SGSI, políticas, recursos y aprobaciones</t>
  </si>
  <si>
    <t>Actas, reglamento CSI, PESI, alcance SGSI, matriz RACI y políticas aprobadas</t>
  </si>
  <si>
    <t>Aprobaciones y actas vigentes</t>
  </si>
  <si>
    <t>Observaciones regulatorias por falta de gobierno formal</t>
  </si>
  <si>
    <t>Base para sostener el resto del cumplimiento.</t>
  </si>
  <si>
    <t>Cerrar brechas de metodología y gestión operativa</t>
  </si>
  <si>
    <t>Riesgos, procesos y personas con Parcial/No cumple</t>
  </si>
  <si>
    <t>Alta / Media</t>
  </si>
  <si>
    <t>31-60 días</t>
  </si>
  <si>
    <t>Actualizar metodología, matriz de riesgos, KRIs, reportes, capacitación y responsabilidades</t>
  </si>
  <si>
    <t>Metodología aprobada, matriz de riesgos, plan de tratamiento, indicadores y registros de capacitación</t>
  </si>
  <si>
    <t>Riesgos / CISO / Talento Humano</t>
  </si>
  <si>
    <t>Riesgos identificados, medidos y tratados</t>
  </si>
  <si>
    <t>Riesgos sin trazabilidad ni monitoreo</t>
  </si>
  <si>
    <t>Alinear riesgo SI con riesgo operativo.</t>
  </si>
  <si>
    <t>Reducir exposición por dependencia operativa y proveedores</t>
  </si>
  <si>
    <t>Continuidad y terceros con Parcial/No cumple</t>
  </si>
  <si>
    <t>31-75 días</t>
  </si>
  <si>
    <t>Actualizar BIA, BCP/DRP, pruebas, contratos, SLAs, reversibilidad, auditorías y seguridad de terceros</t>
  </si>
  <si>
    <t>BIA, RTO/RPO, pruebas DRP, contratos con cláusulas SI/PDP, SLA, evaluación de proveedores</t>
  </si>
  <si>
    <t>Continuidad / Legal / CISO / Compras</t>
  </si>
  <si>
    <t>Pruebas ejecutadas y contratos respaldados</t>
  </si>
  <si>
    <t>Interrupciones no recuperables o dependencia contractual débil</t>
  </si>
  <si>
    <t>Priorizar proveedores críticos y nube.</t>
  </si>
  <si>
    <t>Implementar controles de ciberseguridad y tecnología</t>
  </si>
  <si>
    <t>Tecnología, accesos, ciberseguridad, vulnerabilidades, incidentes y monitoreo con Parcial/No cumple</t>
  </si>
  <si>
    <t>31-90 días</t>
  </si>
  <si>
    <t>Fortalecer IAM, hardening, logs, SIEM/SOC, gestión de vulnerabilidades, incidentes, backups y seguridad TI</t>
  </si>
  <si>
    <t>Procedimientos, configuraciones, evidencias técnicas, reportes de monitoreo, tickets de remediación y pruebas</t>
  </si>
  <si>
    <t>TIC / CISO / SOC</t>
  </si>
  <si>
    <t>Controles implementados y monitoreados</t>
  </si>
  <si>
    <t>Exposición técnica no controlada</t>
  </si>
  <si>
    <t>Usar criticidad y exposición externa para priorizar.</t>
  </si>
  <si>
    <t>Proteger canales electrónicos, cifrado, información y disposiciones específicas</t>
  </si>
  <si>
    <t>Canales, cifrado, datos, activos y disposiciones con Parcial/No cumple</t>
  </si>
  <si>
    <t>61-120 días</t>
  </si>
  <si>
    <t>Validar controles de canales, clasificación, cifrado, protección de información y disposiciones aplicables</t>
  </si>
  <si>
    <t>Inventario, clasificación, pruebas de seguridad, reportes de canales, evidencias de cifrado y controles compensatorios</t>
  </si>
  <si>
    <t>CISO / TIC / Dueños de datos</t>
  </si>
  <si>
    <t>Controles por canal y tipo de dato evidenciados</t>
  </si>
  <si>
    <t>Fallas de confidencialidad, integridad o disponibilidad</t>
  </si>
  <si>
    <t>Validar por servicio y por entidad.</t>
  </si>
  <si>
    <t>Sostener cumplimiento y mejora continua</t>
  </si>
  <si>
    <t>Estado Cumple</t>
  </si>
  <si>
    <t>Trimestral / Semestral</t>
  </si>
  <si>
    <t>Mantener evidencias, revisiones, comités, auditoría interna y seguimiento de indicadores</t>
  </si>
  <si>
    <t>Actas, reportes trimestrales, auditorías, revisiones de efectividad y evidencias actualizadas</t>
  </si>
  <si>
    <t>CISO / Auditoría / Riesgos</t>
  </si>
  <si>
    <t>Sin vencimiento de evidencias clave</t>
  </si>
  <si>
    <t>Cumplimiento documental no sostenible</t>
  </si>
  <si>
    <t>Usar auditoría interna para validación independiente.</t>
  </si>
  <si>
    <t>Acciones inmediatas sugeridas</t>
  </si>
  <si>
    <t>Entregable</t>
  </si>
  <si>
    <t>Responsable</t>
  </si>
  <si>
    <t>Plazo</t>
  </si>
  <si>
    <t>Validar filas con Por evaluar y anexar evidencia</t>
  </si>
  <si>
    <t>Matriz con estado definido y evidencia en columna L</t>
  </si>
  <si>
    <t>CISO / responsables de proceso</t>
  </si>
  <si>
    <t>0-15 días</t>
  </si>
  <si>
    <t>Revisar brechas Alta prioridad cuando aparezcan Parcial/No cumple</t>
  </si>
  <si>
    <t>Backlog priorizado por peso de atención y fase</t>
  </si>
  <si>
    <t>CISO / Riesgos / TIC</t>
  </si>
  <si>
    <t>0-30 días</t>
  </si>
  <si>
    <t>Aprobar plan en Comité de Seguridad de la Información</t>
  </si>
  <si>
    <t>Acta CSI con compromisos, responsables y fechas</t>
  </si>
  <si>
    <t>Presidente CSI / CISO</t>
  </si>
  <si>
    <t>Próxima sesión</t>
  </si>
  <si>
    <t>Ejecutar seguimiento mensual de cierre</t>
  </si>
  <si>
    <t>Reporte ejecutivo de avance y semáforo</t>
  </si>
  <si>
    <t>Mensual</t>
  </si>
  <si>
    <t>0.5</t>
  </si>
  <si>
    <t>Procesos pendiente, no se entrega desde el área de procesos</t>
  </si>
  <si>
    <t>ISO 27001, NIST, CIS controls</t>
  </si>
  <si>
    <t>PESI
Plan de recursos y riesgos no se tiene
Plan de capacitación SI</t>
  </si>
  <si>
    <t>Generar carta de compromiso de la gerencia</t>
  </si>
  <si>
    <t>En fase inicial</t>
  </si>
  <si>
    <t>Se va a colocar en Eramba</t>
  </si>
  <si>
    <t>Aplicabilidad de CIS Controls alineado a NIST CSF</t>
  </si>
  <si>
    <t>Inicial, en construcción</t>
  </si>
  <si>
    <t>Se tiene pero en reforma</t>
  </si>
  <si>
    <t>Fase inicial, aun no se contempla</t>
  </si>
  <si>
    <t>Creada campaña anual</t>
  </si>
  <si>
    <t>Aún no se ejecuta CSI, pero se va a ejecutar</t>
  </si>
  <si>
    <t>En elaboración, pendiente:
Accesos
Incidentes
SW
Infraestructura
TTHH
Seg. Física
Terceros
Ciberseguridad</t>
  </si>
  <si>
    <t>Realizada en revisión, procesos</t>
  </si>
  <si>
    <t>En construcción</t>
  </si>
  <si>
    <t>Noviembre</t>
  </si>
  <si>
    <t>N/A</t>
  </si>
  <si>
    <t>Eramba</t>
  </si>
  <si>
    <t>En proceso</t>
  </si>
  <si>
    <t>Ejecuta TTHH</t>
  </si>
  <si>
    <t>Clausulas post empleo pendientes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</si>
</sst>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>
    <font>
      <sz val="11"/>
      <name val="Carlito"/>
    </font>
    <font>
      <b/>
      <sz val="11"/>
      <color rgb="FFFFFFFF"/>
      <name val="Carlito"/>
    </font>
    <font>
      <sz val="10"/>
      <name val="Carlito"/>
    </font>
    <font>
      <b/>
      <sz val="16"/>
      <color rgb="FFFFFFFF"/>
      <name val="Carlito"/>
    </font>
    <font>
      <b/>
      <sz val="11"/>
      <name val="Carlito"/>
    </font>
    <font>
      <b/>
      <sz val="14"/>
      <color rgb="FFFFFFFF"/>
      <name val="Carlito"/>
    </font>
    <font>
      <b/>
      <sz val="12"/>
      <name val="Carlito"/>
    </font>
    <font>
      <b/>
      <sz val="15"/>
      <color rgb="FFFFFFFF"/>
      <name val="Carlito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0B1F33"/>
      </patternFill>
    </fill>
    <fill>
      <patternFill patternType="solid">
        <fgColor rgb="FFD9EAF7"/>
      </patternFill>
    </fill>
    <fill>
      <patternFill patternType="solid">
        <fgColor rgb="FFEAF3F8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10" fontId="0" fillId="0" borderId="0" xfId="0" applyNumberFormat="1" applyAlignment="1">
      <alignment wrapText="1"/>
    </xf>
    <xf numFmtId="0" fontId="4" fillId="3" borderId="0" xfId="0" applyFont="1" applyFill="1" applyAlignment="1">
      <alignment vertical="top" wrapText="1"/>
    </xf>
    <xf numFmtId="0" fontId="4" fillId="3" borderId="0" xfId="0" applyFont="1" applyFill="1" applyAlignment="1">
      <alignment wrapText="1"/>
    </xf>
    <xf numFmtId="0" fontId="1" fillId="4" borderId="0" xfId="0" applyFont="1" applyFill="1" applyAlignment="1">
      <alignment horizontal="center" vertical="top" wrapText="1"/>
    </xf>
    <xf numFmtId="0" fontId="1" fillId="4" borderId="0" xfId="0" applyFont="1" applyFill="1" applyAlignment="1">
      <alignment horizontal="center" vertical="center" wrapText="1"/>
    </xf>
    <xf numFmtId="164" fontId="0" fillId="0" borderId="0" xfId="0" applyNumberFormat="1" applyAlignment="1">
      <alignment vertical="top" wrapText="1"/>
    </xf>
    <xf numFmtId="9" fontId="0" fillId="0" borderId="0" xfId="0" applyNumberFormat="1" applyAlignment="1">
      <alignment vertical="top" wrapText="1"/>
    </xf>
    <xf numFmtId="0" fontId="4" fillId="6" borderId="0" xfId="0" applyFont="1" applyFill="1" applyAlignment="1">
      <alignment wrapText="1"/>
    </xf>
    <xf numFmtId="0" fontId="4" fillId="6" borderId="0" xfId="0" applyFont="1" applyFill="1" applyAlignment="1">
      <alignment vertical="top" wrapText="1"/>
    </xf>
    <xf numFmtId="0" fontId="3" fillId="2" borderId="0" xfId="0" applyFont="1" applyFill="1" applyAlignment="1">
      <alignment horizontal="center" wrapText="1"/>
    </xf>
    <xf numFmtId="0" fontId="0" fillId="0" borderId="0" xfId="0" applyAlignment="1">
      <alignment wrapText="1"/>
    </xf>
    <xf numFmtId="0" fontId="5" fillId="5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  <xf numFmtId="0" fontId="3" fillId="5" borderId="0" xfId="0" applyFont="1" applyFill="1" applyAlignment="1">
      <alignment horizontal="center" vertical="top" wrapText="1"/>
    </xf>
    <xf numFmtId="0" fontId="4" fillId="6" borderId="0" xfId="0" applyFont="1" applyFill="1" applyAlignment="1">
      <alignment horizontal="center" vertical="top" wrapText="1"/>
    </xf>
    <xf numFmtId="0" fontId="6" fillId="7" borderId="0" xfId="0" applyFont="1" applyFill="1" applyAlignment="1">
      <alignment horizontal="center" vertical="top" wrapText="1"/>
    </xf>
    <xf numFmtId="0" fontId="4" fillId="8" borderId="0" xfId="0" applyFont="1" applyFill="1" applyAlignment="1">
      <alignment horizontal="center" vertical="top" wrapText="1"/>
    </xf>
    <xf numFmtId="0" fontId="1" fillId="2" borderId="0" xfId="0" applyFont="1" applyFill="1" applyAlignment="1">
      <alignment horizontal="center" vertical="top" wrapText="1"/>
    </xf>
    <xf numFmtId="0" fontId="7" fillId="5" borderId="0" xfId="0" applyFont="1" applyFill="1" applyAlignment="1">
      <alignment horizontal="center" vertical="top" wrapText="1"/>
    </xf>
  </cellXfs>
  <cellStyles count="1">
    <cellStyle name="Normal" xfId="0" builtinId="0"/>
  </cellStyles>
  <dxfs count="8">
    <dxf>
      <fill>
        <patternFill>
          <bgColor rgb="FFD9EAD3"/>
        </patternFill>
      </fill>
    </dxf>
    <dxf>
      <fill>
        <patternFill>
          <bgColor rgb="FFFFF2CC"/>
        </patternFill>
      </fill>
    </dxf>
    <dxf>
      <fill>
        <patternFill>
          <bgColor rgb="FFF4CCCC"/>
        </patternFill>
      </fill>
    </dxf>
    <dxf>
      <fill>
        <patternFill>
          <bgColor rgb="FFD9D9D9"/>
        </patternFill>
      </fill>
    </dxf>
    <dxf>
      <fill>
        <patternFill>
          <bgColor rgb="FFE7E6E6"/>
        </patternFill>
      </fill>
    </dxf>
    <dxf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D9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s-EC"/>
              <a:t>Requisitos por dominio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Cantidad</c:v>
          </c:tx>
          <c:invertIfNegative val="1"/>
          <c:cat>
            <c:strRef>
              <c:f>Resumen_Ejecutivo!$D$7:$D$24</c:f>
              <c:strCache>
                <c:ptCount val="18"/>
                <c:pt idx="0">
                  <c:v>Accesos</c:v>
                </c:pt>
                <c:pt idx="1">
                  <c:v>Activos e información</c:v>
                </c:pt>
                <c:pt idx="2">
                  <c:v>Canales electrónicos</c:v>
                </c:pt>
                <c:pt idx="3">
                  <c:v>Ciberseguridad</c:v>
                </c:pt>
                <c:pt idx="4">
                  <c:v>Cifrado y datos</c:v>
                </c:pt>
                <c:pt idx="5">
                  <c:v>Contexto y alcance</c:v>
                </c:pt>
                <c:pt idx="6">
                  <c:v>Continuidad</c:v>
                </c:pt>
                <c:pt idx="7">
                  <c:v>Disposiciones</c:v>
                </c:pt>
                <c:pt idx="8">
                  <c:v>Gobernanza</c:v>
                </c:pt>
                <c:pt idx="9">
                  <c:v>Incidentes</c:v>
                </c:pt>
                <c:pt idx="10">
                  <c:v>Monitoreo</c:v>
                </c:pt>
                <c:pt idx="11">
                  <c:v>Personas</c:v>
                </c:pt>
                <c:pt idx="12">
                  <c:v>Procesos</c:v>
                </c:pt>
                <c:pt idx="13">
                  <c:v>Riesgos</c:v>
                </c:pt>
                <c:pt idx="14">
                  <c:v>SGSI</c:v>
                </c:pt>
                <c:pt idx="15">
                  <c:v>Tecnología</c:v>
                </c:pt>
                <c:pt idx="16">
                  <c:v>Terceros</c:v>
                </c:pt>
                <c:pt idx="17">
                  <c:v>Vulnerabilidades</c:v>
                </c:pt>
              </c:strCache>
            </c:strRef>
          </c:cat>
          <c:val>
            <c:numRef>
              <c:f>Resumen_Ejecutivo!$E$7:$E$24</c:f>
              <c:numCache>
                <c:formatCode>General</c:formatCode>
                <c:ptCount val="18"/>
                <c:pt idx="0">
                  <c:v>4</c:v>
                </c:pt>
                <c:pt idx="1">
                  <c:v>6</c:v>
                </c:pt>
                <c:pt idx="2">
                  <c:v>16</c:v>
                </c:pt>
                <c:pt idx="3">
                  <c:v>3</c:v>
                </c:pt>
                <c:pt idx="4">
                  <c:v>4</c:v>
                </c:pt>
                <c:pt idx="5">
                  <c:v>4</c:v>
                </c:pt>
                <c:pt idx="6">
                  <c:v>6</c:v>
                </c:pt>
                <c:pt idx="7">
                  <c:v>5</c:v>
                </c:pt>
                <c:pt idx="8">
                  <c:v>10</c:v>
                </c:pt>
                <c:pt idx="9">
                  <c:v>4</c:v>
                </c:pt>
                <c:pt idx="10">
                  <c:v>3</c:v>
                </c:pt>
                <c:pt idx="11">
                  <c:v>4</c:v>
                </c:pt>
                <c:pt idx="12">
                  <c:v>2</c:v>
                </c:pt>
                <c:pt idx="13">
                  <c:v>9</c:v>
                </c:pt>
                <c:pt idx="14">
                  <c:v>7</c:v>
                </c:pt>
                <c:pt idx="15">
                  <c:v>13</c:v>
                </c:pt>
                <c:pt idx="16">
                  <c:v>11</c:v>
                </c:pt>
                <c:pt idx="1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57-4249-A0F8-52C49245F1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s-EC"/>
              <a:t>Estado de cumplimiento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Cantidad</c:v>
          </c:tx>
          <c:cat>
            <c:strRef>
              <c:f>Dashboard_Decision!$H$8:$H$13</c:f>
              <c:strCache>
                <c:ptCount val="6"/>
                <c:pt idx="0">
                  <c:v>Cumple</c:v>
                </c:pt>
                <c:pt idx="1">
                  <c:v>Parcial</c:v>
                </c:pt>
                <c:pt idx="2">
                  <c:v>No cumple</c:v>
                </c:pt>
                <c:pt idx="3">
                  <c:v>No aplica</c:v>
                </c:pt>
                <c:pt idx="4">
                  <c:v>Por evaluar</c:v>
                </c:pt>
                <c:pt idx="5">
                  <c:v>Revisar valor</c:v>
                </c:pt>
              </c:strCache>
            </c:strRef>
          </c:cat>
          <c:val>
            <c:numRef>
              <c:f>Dashboard_Decision!$I$8:$I$13</c:f>
              <c:numCache>
                <c:formatCode>General</c:formatCode>
                <c:ptCount val="6"/>
                <c:pt idx="0">
                  <c:v>20</c:v>
                </c:pt>
                <c:pt idx="1">
                  <c:v>38</c:v>
                </c:pt>
                <c:pt idx="2">
                  <c:v>40</c:v>
                </c:pt>
                <c:pt idx="3">
                  <c:v>17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CC-47D5-A27B-C888F1C2A0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s-EC"/>
              <a:t>Requerimientos por dominio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invertIfNegative val="1"/>
          <c:cat>
            <c:strRef>
              <c:f>Dashboard_Decision!$A$23:$A$40</c:f>
              <c:strCache>
                <c:ptCount val="18"/>
                <c:pt idx="0">
                  <c:v>Accesos</c:v>
                </c:pt>
                <c:pt idx="1">
                  <c:v>Activos e información</c:v>
                </c:pt>
                <c:pt idx="2">
                  <c:v>Canales electrónicos</c:v>
                </c:pt>
                <c:pt idx="3">
                  <c:v>Ciberseguridad</c:v>
                </c:pt>
                <c:pt idx="4">
                  <c:v>Cifrado y datos</c:v>
                </c:pt>
                <c:pt idx="5">
                  <c:v>Contexto y alcance</c:v>
                </c:pt>
                <c:pt idx="6">
                  <c:v>Continuidad</c:v>
                </c:pt>
                <c:pt idx="7">
                  <c:v>Disposiciones</c:v>
                </c:pt>
                <c:pt idx="8">
                  <c:v>Gobernanza</c:v>
                </c:pt>
                <c:pt idx="9">
                  <c:v>Incidentes</c:v>
                </c:pt>
                <c:pt idx="10">
                  <c:v>Monitoreo</c:v>
                </c:pt>
                <c:pt idx="11">
                  <c:v>Personas</c:v>
                </c:pt>
                <c:pt idx="12">
                  <c:v>Procesos</c:v>
                </c:pt>
                <c:pt idx="13">
                  <c:v>Riesgos</c:v>
                </c:pt>
                <c:pt idx="14">
                  <c:v>SGSI</c:v>
                </c:pt>
                <c:pt idx="15">
                  <c:v>Tecnología</c:v>
                </c:pt>
                <c:pt idx="16">
                  <c:v>Terceros</c:v>
                </c:pt>
                <c:pt idx="17">
                  <c:v>Vulnerabilidades</c:v>
                </c:pt>
              </c:strCache>
            </c:strRef>
          </c:cat>
          <c:val>
            <c:numRef>
              <c:f>Dashboard_Decision!$B$23:$B$40</c:f>
              <c:numCache>
                <c:formatCode>General</c:formatCode>
                <c:ptCount val="18"/>
                <c:pt idx="0">
                  <c:v>4</c:v>
                </c:pt>
                <c:pt idx="1">
                  <c:v>6</c:v>
                </c:pt>
                <c:pt idx="2">
                  <c:v>16</c:v>
                </c:pt>
                <c:pt idx="3">
                  <c:v>3</c:v>
                </c:pt>
                <c:pt idx="4">
                  <c:v>4</c:v>
                </c:pt>
                <c:pt idx="5">
                  <c:v>4</c:v>
                </c:pt>
                <c:pt idx="6">
                  <c:v>6</c:v>
                </c:pt>
                <c:pt idx="7">
                  <c:v>5</c:v>
                </c:pt>
                <c:pt idx="8">
                  <c:v>10</c:v>
                </c:pt>
                <c:pt idx="9">
                  <c:v>4</c:v>
                </c:pt>
                <c:pt idx="10">
                  <c:v>3</c:v>
                </c:pt>
                <c:pt idx="11">
                  <c:v>4</c:v>
                </c:pt>
                <c:pt idx="12">
                  <c:v>2</c:v>
                </c:pt>
                <c:pt idx="13">
                  <c:v>9</c:v>
                </c:pt>
                <c:pt idx="14">
                  <c:v>7</c:v>
                </c:pt>
                <c:pt idx="15">
                  <c:v>13</c:v>
                </c:pt>
                <c:pt idx="16">
                  <c:v>11</c:v>
                </c:pt>
                <c:pt idx="1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5F-497D-A7D4-9F900E4220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s-EC"/>
              <a:t>Ítems por fase sugerida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invertIfNegative val="1"/>
          <c:cat>
            <c:strRef>
              <c:f>Dashboard_Decision!$H$23:$H$30</c:f>
              <c:strCache>
                <c:ptCount val="8"/>
                <c:pt idx="0">
                  <c:v>Fase 0 - Evidencia/aplicabilidad</c:v>
                </c:pt>
                <c:pt idx="1">
                  <c:v>Fase 1 - Gobierno y SGSI</c:v>
                </c:pt>
                <c:pt idx="2">
                  <c:v>Fase 2 - Riesgos y operación</c:v>
                </c:pt>
                <c:pt idx="3">
                  <c:v>Fase 3 - Continuidad y terceros</c:v>
                </c:pt>
                <c:pt idx="4">
                  <c:v>Fase 4 - Controles técnicos</c:v>
                </c:pt>
                <c:pt idx="5">
                  <c:v>Fase 5 - Canales y datos</c:v>
                </c:pt>
                <c:pt idx="6">
                  <c:v>Mantenimiento</c:v>
                </c:pt>
                <c:pt idx="7">
                  <c:v>No aplica</c:v>
                </c:pt>
              </c:strCache>
            </c:strRef>
          </c:cat>
          <c:val>
            <c:numRef>
              <c:f>Dashboard_Decision!$I$23:$I$30</c:f>
              <c:numCache>
                <c:formatCode>General</c:formatCode>
                <c:ptCount val="8"/>
                <c:pt idx="0">
                  <c:v>0</c:v>
                </c:pt>
                <c:pt idx="1">
                  <c:v>11</c:v>
                </c:pt>
                <c:pt idx="2">
                  <c:v>12</c:v>
                </c:pt>
                <c:pt idx="3">
                  <c:v>17</c:v>
                </c:pt>
                <c:pt idx="4">
                  <c:v>27</c:v>
                </c:pt>
                <c:pt idx="5">
                  <c:v>11</c:v>
                </c:pt>
                <c:pt idx="6">
                  <c:v>20</c:v>
                </c:pt>
                <c:pt idx="7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37-499B-BA9A-F707648B6F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t>Cantidad dinámica por fase del plan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Objetivo de decisión</c:v>
          </c:tx>
          <c:invertIfNegative val="1"/>
          <c:cat>
            <c:strRef>
              <c:f>Plan_Cumplimiento!$A$5:$A$11</c:f>
              <c:strCache>
                <c:ptCount val="7"/>
                <c:pt idx="0">
                  <c:v>Fase 0 - Evidencia/aplicabilidad</c:v>
                </c:pt>
                <c:pt idx="1">
                  <c:v>Fase 1 - Gobierno y SGSI</c:v>
                </c:pt>
                <c:pt idx="2">
                  <c:v>Fase 2 - Riesgos y operación</c:v>
                </c:pt>
                <c:pt idx="3">
                  <c:v>Fase 3 - Continuidad y terceros</c:v>
                </c:pt>
                <c:pt idx="4">
                  <c:v>Fase 4 - Controles técnicos</c:v>
                </c:pt>
                <c:pt idx="5">
                  <c:v>Fase 5 - Canales y datos</c:v>
                </c:pt>
                <c:pt idx="6">
                  <c:v>Mantenimiento</c:v>
                </c:pt>
              </c:strCache>
            </c:strRef>
          </c:cat>
          <c:val>
            <c:numRef>
              <c:f>Plan_Cumplimiento!$B$5:$B$11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64-458D-91CA-CE5DA1DE52C8}"/>
            </c:ext>
          </c:extLst>
        </c:ser>
        <c:ser>
          <c:idx val="1"/>
          <c:order val="1"/>
          <c:tx>
            <c:v>Criterio de inclusión</c:v>
          </c:tx>
          <c:invertIfNegative val="1"/>
          <c:cat>
            <c:strRef>
              <c:f>Plan_Cumplimiento!$A$5:$A$11</c:f>
              <c:strCache>
                <c:ptCount val="7"/>
                <c:pt idx="0">
                  <c:v>Fase 0 - Evidencia/aplicabilidad</c:v>
                </c:pt>
                <c:pt idx="1">
                  <c:v>Fase 1 - Gobierno y SGSI</c:v>
                </c:pt>
                <c:pt idx="2">
                  <c:v>Fase 2 - Riesgos y operación</c:v>
                </c:pt>
                <c:pt idx="3">
                  <c:v>Fase 3 - Continuidad y terceros</c:v>
                </c:pt>
                <c:pt idx="4">
                  <c:v>Fase 4 - Controles técnicos</c:v>
                </c:pt>
                <c:pt idx="5">
                  <c:v>Fase 5 - Canales y datos</c:v>
                </c:pt>
                <c:pt idx="6">
                  <c:v>Mantenimiento</c:v>
                </c:pt>
              </c:strCache>
            </c:strRef>
          </c:cat>
          <c:val>
            <c:numRef>
              <c:f>Plan_Cumplimiento!$C$5:$C$11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64-458D-91CA-CE5DA1DE52C8}"/>
            </c:ext>
          </c:extLst>
        </c:ser>
        <c:ser>
          <c:idx val="2"/>
          <c:order val="2"/>
          <c:tx>
            <c:v>Cantidad dinámica</c:v>
          </c:tx>
          <c:invertIfNegative val="1"/>
          <c:cat>
            <c:strRef>
              <c:f>Plan_Cumplimiento!$A$5:$A$11</c:f>
              <c:strCache>
                <c:ptCount val="7"/>
                <c:pt idx="0">
                  <c:v>Fase 0 - Evidencia/aplicabilidad</c:v>
                </c:pt>
                <c:pt idx="1">
                  <c:v>Fase 1 - Gobierno y SGSI</c:v>
                </c:pt>
                <c:pt idx="2">
                  <c:v>Fase 2 - Riesgos y operación</c:v>
                </c:pt>
                <c:pt idx="3">
                  <c:v>Fase 3 - Continuidad y terceros</c:v>
                </c:pt>
                <c:pt idx="4">
                  <c:v>Fase 4 - Controles técnicos</c:v>
                </c:pt>
                <c:pt idx="5">
                  <c:v>Fase 5 - Canales y datos</c:v>
                </c:pt>
                <c:pt idx="6">
                  <c:v>Mantenimiento</c:v>
                </c:pt>
              </c:strCache>
            </c:strRef>
          </c:cat>
          <c:val>
            <c:numRef>
              <c:f>Plan_Cumplimiento!$D$5:$D$11</c:f>
              <c:numCache>
                <c:formatCode>General</c:formatCode>
                <c:ptCount val="7"/>
                <c:pt idx="0">
                  <c:v>0</c:v>
                </c:pt>
                <c:pt idx="1">
                  <c:v>11</c:v>
                </c:pt>
                <c:pt idx="2">
                  <c:v>12</c:v>
                </c:pt>
                <c:pt idx="3">
                  <c:v>17</c:v>
                </c:pt>
                <c:pt idx="4">
                  <c:v>27</c:v>
                </c:pt>
                <c:pt idx="5">
                  <c:v>11</c:v>
                </c:pt>
                <c:pt idx="6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D64-458D-91CA-CE5DA1DE52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6</xdr:row>
      <xdr:rowOff>0</xdr:rowOff>
    </xdr:from>
    <xdr:to>
      <xdr:col>15</xdr:col>
      <xdr:colOff>0</xdr:colOff>
      <xdr:row>15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42</xdr:row>
      <xdr:rowOff>0</xdr:rowOff>
    </xdr:from>
    <xdr:to>
      <xdr:col>7</xdr:col>
      <xdr:colOff>0</xdr:colOff>
      <xdr:row>61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42</xdr:row>
      <xdr:rowOff>0</xdr:rowOff>
    </xdr:from>
    <xdr:to>
      <xdr:col>15</xdr:col>
      <xdr:colOff>0</xdr:colOff>
      <xdr:row>61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13</xdr:row>
      <xdr:rowOff>0</xdr:rowOff>
    </xdr:from>
    <xdr:to>
      <xdr:col>12</xdr:col>
      <xdr:colOff>0</xdr:colOff>
      <xdr:row>29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DueDiligence" displayName="TablaDueDiligence" ref="A1:S116">
  <tableColumns count="19">
    <tableColumn id="1" xr3:uid="{00000000-0010-0000-0000-000001000000}" name="# item"/>
    <tableColumn id="2" xr3:uid="{00000000-0010-0000-0000-000002000000}" name="Dominio"/>
    <tableColumn id="3" xr3:uid="{00000000-0010-0000-0000-000003000000}" name="Subdominio"/>
    <tableColumn id="4" xr3:uid="{00000000-0010-0000-0000-000004000000}" name="Requerimiento"/>
    <tableColumn id="5" xr3:uid="{00000000-0010-0000-0000-000005000000}" name="Detalle del requerimiento"/>
    <tableColumn id="6" xr3:uid="{00000000-0010-0000-0000-000006000000}" name="Artículo / Ítem / Lugar"/>
    <tableColumn id="7" xr3:uid="{00000000-0010-0000-0000-000007000000}" name="Normativa"/>
    <tableColumn id="8" xr3:uid="{00000000-0010-0000-0000-000008000000}" name="Normativa específica / Fuente"/>
    <tableColumn id="9" xr3:uid="{00000000-0010-0000-0000-000009000000}" name="Qué se debe realizar / Documento-Control-Evidencia"/>
    <tableColumn id="10" xr3:uid="{00000000-0010-0000-0000-00000A000000}" name="Valor cumplimiento (0, 0.5, 1, N/A)"/>
    <tableColumn id="11" xr3:uid="{00000000-0010-0000-0000-00000B000000}" name="Estado automático"/>
    <tableColumn id="12" xr3:uid="{00000000-0010-0000-0000-00000C000000}" name="Evidencia levantada"/>
    <tableColumn id="13" xr3:uid="{00000000-0010-0000-0000-00000D000000}" name="Brecha / observación"/>
    <tableColumn id="14" xr3:uid="{00000000-0010-0000-0000-00000E000000}" name="Responsable sugerido"/>
    <tableColumn id="15" xr3:uid="{00000000-0010-0000-0000-00000F000000}" name="Prioridad"/>
    <tableColumn id="16" xr3:uid="{00000000-0010-0000-0000-000010000000}" name="Periodicidad / Plazo"/>
    <tableColumn id="17" xr3:uid="{00000000-0010-0000-0000-000011000000}" name="Cruce / equivalencia normativa"/>
    <tableColumn id="18" xr3:uid="{00000000-0010-0000-0000-000012000000}" name="Revisión exhaustiva DD"/>
    <tableColumn id="19" xr3:uid="{00000000-0010-0000-0000-000013000000}" name="Control ISO/IEC 27001:2022 asoci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16"/>
  <sheetViews>
    <sheetView tabSelected="1" workbookViewId="0">
      <selection activeCell="J117" sqref="J117"/>
    </sheetView>
  </sheetViews>
  <sheetFormatPr baseColWidth="10" defaultColWidth="9" defaultRowHeight="14.25"/>
  <cols>
    <col min="1" max="1" width="7" customWidth="1"/>
    <col min="2" max="2" width="20" customWidth="1"/>
    <col min="3" max="3" width="24" customWidth="1"/>
    <col min="4" max="4" width="40" customWidth="1"/>
    <col min="5" max="5" width="55" customWidth="1"/>
    <col min="6" max="6" width="28" hidden="1" customWidth="1"/>
    <col min="7" max="7" width="14" hidden="1" customWidth="1"/>
    <col min="8" max="8" width="38" hidden="1" customWidth="1"/>
    <col min="9" max="9" width="70" customWidth="1"/>
    <col min="10" max="10" width="18" customWidth="1"/>
    <col min="11" max="11" width="17" customWidth="1"/>
    <col min="12" max="12" width="28" customWidth="1"/>
    <col min="13" max="13" width="38" customWidth="1"/>
    <col min="14" max="14" width="24" customWidth="1"/>
    <col min="15" max="15" width="12" customWidth="1"/>
    <col min="16" max="16" width="24" customWidth="1"/>
    <col min="17" max="17" width="36" customWidth="1"/>
    <col min="18" max="18" width="24" customWidth="1"/>
    <col min="19" max="19" width="55" customWidth="1"/>
    <col min="20" max="20" width="24" customWidth="1"/>
    <col min="21" max="21" width="40" customWidth="1"/>
    <col min="22" max="22" width="20" customWidth="1"/>
    <col min="23" max="23" width="14" customWidth="1"/>
    <col min="24" max="24" width="30" customWidth="1"/>
  </cols>
  <sheetData>
    <row r="1" spans="1:24" ht="42" customHeight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</row>
    <row r="2" spans="1:24" ht="38.25">
      <c r="A2" s="5">
        <v>1</v>
      </c>
      <c r="B2" s="5" t="s">
        <v>24</v>
      </c>
      <c r="C2" s="5" t="s">
        <v>25</v>
      </c>
      <c r="D2" s="5" t="s">
        <v>26</v>
      </c>
      <c r="E2" s="5" t="s">
        <v>27</v>
      </c>
      <c r="F2" s="5" t="s">
        <v>28</v>
      </c>
      <c r="G2" s="5" t="s">
        <v>29</v>
      </c>
      <c r="H2" s="5" t="s">
        <v>30</v>
      </c>
      <c r="I2" s="5" t="s">
        <v>31</v>
      </c>
      <c r="J2" s="5">
        <v>1</v>
      </c>
      <c r="K2" s="5" t="str">
        <f t="shared" ref="K2:K33" si="0">IF(TRIM(J2&amp;"")="","Por evaluar",IF(UPPER(TRIM(J2&amp;""))="N/A","No aplica",IF(OR(J2=1,J2="1"),"Cumple",IF(OR(J2=0.5,J2="0.5"),"Parcial",IF(OR(J2=0,J2="0"),"No cumple","Revisar valor")))))</f>
        <v>Cumple</v>
      </c>
      <c r="L2" s="5"/>
      <c r="M2" s="5"/>
      <c r="N2" s="5" t="s">
        <v>32</v>
      </c>
      <c r="O2" s="5" t="s">
        <v>33</v>
      </c>
      <c r="P2" s="5" t="s">
        <v>34</v>
      </c>
      <c r="Q2" s="5" t="s">
        <v>35</v>
      </c>
      <c r="R2" s="5" t="s">
        <v>36</v>
      </c>
      <c r="S2" s="5" t="s">
        <v>37</v>
      </c>
      <c r="T2" s="4" t="str">
        <f t="shared" ref="T2:T33" si="1">IF(K2="Cumple","Mantener / evidenciar",IF(K2="Parcial","Cerrar brecha parcial",IF(K2="No cumple","Implementar control",IF(K2="No aplica","Sin acción","Levantar evidencia"))))</f>
        <v>Mantener / evidenciar</v>
      </c>
      <c r="U2" s="4" t="str">
        <f t="shared" ref="U2:U33" si="2">IF(K2="Cumple","Mantener evidencia y revisión periódica",IF(K2="No aplica","Documentar justificación de no aplicabilidad",IF(K2="Por evaluar","Levantar evidencia y confirmar aplicabilidad",IF(K2="Parcial","Completar documentación/control y validar efectividad",IF(K2="No cumple","Diseñar, aprobar e implementar control requerido","Corregir valor de cumplimiento")))))</f>
        <v>Mantener evidencia y revisión periódica</v>
      </c>
      <c r="V2" s="4" t="str">
        <f t="shared" ref="V2:V33" si="3">IF(K2="No cumple",IF(O2="Alta","0-30 días",IF(O2="Media","31-60 días","61-90 días")),IF(K2="Parcial",IF(O2="Alta","0-45 días",IF(O2="Media","31-75 días","61-120 días")),IF(K2="Por evaluar",IF(O2="Alta","0-15 días","0-30 días"),IF(K2="Cumple","Revisión periódica","No aplica"))))</f>
        <v>Revisión periódica</v>
      </c>
      <c r="W2" s="11">
        <f t="shared" ref="W2:W33" si="4">IF(K2="No cumple",IF(O2="Alta",3,IF(O2="Media",2,1)),IF(K2="Parcial",IF(O2="Alta",2,IF(O2="Media",1.5,1)),IF(K2="Por evaluar",IF(O2="Alta",1.5,IF(O2="Media",1,0.5)),0)))</f>
        <v>0</v>
      </c>
      <c r="X2" s="4" t="str">
        <f t="shared" ref="X2:X33" si="5">IF(K2="No aplica","No aplica",IF(K2="Cumple","Mantenimiento",IF(K2="Por evaluar","Fase 0 - Evidencia/aplicabilidad",IF(OR(B2="Gobernanza",B2="SGSI",B2="Contexto y alcance"),"Fase 1 - Gobierno y SGSI",IF(OR(B2="Riesgos",B2="Procesos",B2="Personas"),"Fase 2 - Riesgos y operación",IF(OR(B2="Terceros",B2="Continuidad"),"Fase 3 - Continuidad y terceros",IF(OR(B2="Tecnología",B2="Accesos",B2="Ciberseguridad",B2="Vulnerabilidades",B2="Incidentes",B2="Monitoreo"),"Fase 4 - Controles técnicos","Fase 5 - Canales y datos")))))))</f>
        <v>Mantenimiento</v>
      </c>
    </row>
    <row r="3" spans="1:24" ht="38.25">
      <c r="A3" s="5">
        <v>2</v>
      </c>
      <c r="B3" s="5" t="s">
        <v>24</v>
      </c>
      <c r="C3" s="5" t="s">
        <v>38</v>
      </c>
      <c r="D3" s="5" t="s">
        <v>39</v>
      </c>
      <c r="E3" s="5" t="s">
        <v>40</v>
      </c>
      <c r="F3" s="5" t="s">
        <v>41</v>
      </c>
      <c r="G3" s="5" t="s">
        <v>29</v>
      </c>
      <c r="H3" s="5" t="s">
        <v>42</v>
      </c>
      <c r="I3" s="5" t="s">
        <v>43</v>
      </c>
      <c r="J3" s="5" t="s">
        <v>1199</v>
      </c>
      <c r="K3" s="5" t="str">
        <f t="shared" si="0"/>
        <v>Parcial</v>
      </c>
      <c r="L3" s="5"/>
      <c r="M3" s="5" t="s">
        <v>1200</v>
      </c>
      <c r="N3" s="5" t="s">
        <v>44</v>
      </c>
      <c r="O3" s="5" t="s">
        <v>33</v>
      </c>
      <c r="P3" s="5" t="s">
        <v>45</v>
      </c>
      <c r="Q3" s="5" t="s">
        <v>46</v>
      </c>
      <c r="R3" s="5" t="s">
        <v>36</v>
      </c>
      <c r="S3" s="5" t="s">
        <v>47</v>
      </c>
      <c r="T3" s="4" t="str">
        <f t="shared" si="1"/>
        <v>Cerrar brecha parcial</v>
      </c>
      <c r="U3" s="4" t="str">
        <f t="shared" si="2"/>
        <v>Completar documentación/control y validar efectividad</v>
      </c>
      <c r="V3" s="4" t="str">
        <f t="shared" si="3"/>
        <v>0-45 días</v>
      </c>
      <c r="W3" s="11">
        <f t="shared" si="4"/>
        <v>2</v>
      </c>
      <c r="X3" s="4" t="str">
        <f t="shared" si="5"/>
        <v>Fase 1 - Gobierno y SGSI</v>
      </c>
    </row>
    <row r="4" spans="1:24" ht="51">
      <c r="A4" s="5">
        <v>3</v>
      </c>
      <c r="B4" s="5" t="s">
        <v>24</v>
      </c>
      <c r="C4" s="5" t="s">
        <v>48</v>
      </c>
      <c r="D4" s="5" t="s">
        <v>49</v>
      </c>
      <c r="E4" s="5" t="s">
        <v>50</v>
      </c>
      <c r="F4" s="5" t="s">
        <v>51</v>
      </c>
      <c r="G4" s="5" t="s">
        <v>29</v>
      </c>
      <c r="H4" s="5" t="s">
        <v>52</v>
      </c>
      <c r="I4" s="5" t="s">
        <v>53</v>
      </c>
      <c r="J4" s="5">
        <v>1</v>
      </c>
      <c r="K4" s="5" t="str">
        <f t="shared" si="0"/>
        <v>Cumple</v>
      </c>
      <c r="L4" s="5"/>
      <c r="M4" s="5"/>
      <c r="N4" s="5" t="s">
        <v>54</v>
      </c>
      <c r="O4" s="5" t="s">
        <v>33</v>
      </c>
      <c r="P4" s="5" t="s">
        <v>55</v>
      </c>
      <c r="Q4" s="5" t="s">
        <v>56</v>
      </c>
      <c r="R4" s="5" t="s">
        <v>36</v>
      </c>
      <c r="S4" s="5" t="s">
        <v>57</v>
      </c>
      <c r="T4" s="4" t="str">
        <f t="shared" si="1"/>
        <v>Mantener / evidenciar</v>
      </c>
      <c r="U4" s="4" t="str">
        <f t="shared" si="2"/>
        <v>Mantener evidencia y revisión periódica</v>
      </c>
      <c r="V4" s="4" t="str">
        <f t="shared" si="3"/>
        <v>Revisión periódica</v>
      </c>
      <c r="W4" s="11">
        <f t="shared" si="4"/>
        <v>0</v>
      </c>
      <c r="X4" s="4" t="str">
        <f t="shared" si="5"/>
        <v>Mantenimiento</v>
      </c>
    </row>
    <row r="5" spans="1:24" ht="38.25">
      <c r="A5" s="5">
        <v>4</v>
      </c>
      <c r="B5" s="5" t="s">
        <v>24</v>
      </c>
      <c r="C5" s="5" t="s">
        <v>58</v>
      </c>
      <c r="D5" s="5" t="s">
        <v>59</v>
      </c>
      <c r="E5" s="5" t="s">
        <v>60</v>
      </c>
      <c r="F5" s="5" t="s">
        <v>61</v>
      </c>
      <c r="G5" s="5" t="s">
        <v>29</v>
      </c>
      <c r="H5" s="5" t="s">
        <v>62</v>
      </c>
      <c r="I5" s="5" t="s">
        <v>63</v>
      </c>
      <c r="J5" s="5">
        <v>1</v>
      </c>
      <c r="K5" s="5" t="str">
        <f t="shared" si="0"/>
        <v>Cumple</v>
      </c>
      <c r="L5" s="5"/>
      <c r="M5" s="5" t="s">
        <v>1201</v>
      </c>
      <c r="N5" s="5" t="s">
        <v>64</v>
      </c>
      <c r="O5" s="5" t="s">
        <v>65</v>
      </c>
      <c r="P5" s="5" t="s">
        <v>45</v>
      </c>
      <c r="Q5" s="5" t="s">
        <v>66</v>
      </c>
      <c r="R5" s="5" t="s">
        <v>36</v>
      </c>
      <c r="S5" s="5" t="s">
        <v>67</v>
      </c>
      <c r="T5" s="4" t="str">
        <f t="shared" si="1"/>
        <v>Mantener / evidenciar</v>
      </c>
      <c r="U5" s="4" t="str">
        <f t="shared" si="2"/>
        <v>Mantener evidencia y revisión periódica</v>
      </c>
      <c r="V5" s="4" t="str">
        <f t="shared" si="3"/>
        <v>Revisión periódica</v>
      </c>
      <c r="W5" s="11">
        <f t="shared" si="4"/>
        <v>0</v>
      </c>
      <c r="X5" s="4" t="str">
        <f t="shared" si="5"/>
        <v>Mantenimiento</v>
      </c>
    </row>
    <row r="6" spans="1:24" ht="38.25">
      <c r="A6" s="5">
        <v>5</v>
      </c>
      <c r="B6" s="5" t="s">
        <v>68</v>
      </c>
      <c r="C6" s="5" t="s">
        <v>69</v>
      </c>
      <c r="D6" s="5" t="s">
        <v>70</v>
      </c>
      <c r="E6" s="5" t="s">
        <v>71</v>
      </c>
      <c r="F6" s="5" t="s">
        <v>72</v>
      </c>
      <c r="G6" s="5" t="s">
        <v>29</v>
      </c>
      <c r="H6" s="5" t="s">
        <v>73</v>
      </c>
      <c r="I6" s="5" t="s">
        <v>74</v>
      </c>
      <c r="J6" s="5" t="s">
        <v>1199</v>
      </c>
      <c r="K6" s="5" t="str">
        <f t="shared" si="0"/>
        <v>Parcial</v>
      </c>
      <c r="L6" s="5"/>
      <c r="M6" s="5" t="s">
        <v>1202</v>
      </c>
      <c r="N6" s="5" t="s">
        <v>75</v>
      </c>
      <c r="O6" s="5" t="s">
        <v>33</v>
      </c>
      <c r="P6" s="5" t="s">
        <v>76</v>
      </c>
      <c r="Q6" s="5" t="s">
        <v>77</v>
      </c>
      <c r="R6" s="5" t="s">
        <v>36</v>
      </c>
      <c r="S6" s="5" t="s">
        <v>78</v>
      </c>
      <c r="T6" s="4" t="str">
        <f t="shared" si="1"/>
        <v>Cerrar brecha parcial</v>
      </c>
      <c r="U6" s="4" t="str">
        <f t="shared" si="2"/>
        <v>Completar documentación/control y validar efectividad</v>
      </c>
      <c r="V6" s="4" t="str">
        <f t="shared" si="3"/>
        <v>0-45 días</v>
      </c>
      <c r="W6" s="11">
        <f t="shared" si="4"/>
        <v>2</v>
      </c>
      <c r="X6" s="4" t="str">
        <f t="shared" si="5"/>
        <v>Fase 1 - Gobierno y SGSI</v>
      </c>
    </row>
    <row r="7" spans="1:24" ht="51">
      <c r="A7" s="5">
        <v>6</v>
      </c>
      <c r="B7" s="5" t="s">
        <v>68</v>
      </c>
      <c r="C7" s="5" t="s">
        <v>79</v>
      </c>
      <c r="D7" s="5" t="s">
        <v>80</v>
      </c>
      <c r="E7" s="5" t="s">
        <v>81</v>
      </c>
      <c r="F7" s="5" t="s">
        <v>82</v>
      </c>
      <c r="G7" s="5" t="s">
        <v>29</v>
      </c>
      <c r="H7" s="5" t="s">
        <v>83</v>
      </c>
      <c r="I7" s="5" t="s">
        <v>84</v>
      </c>
      <c r="J7" s="5">
        <v>1</v>
      </c>
      <c r="K7" s="5" t="str">
        <f t="shared" si="0"/>
        <v>Cumple</v>
      </c>
      <c r="L7" s="5"/>
      <c r="M7" s="5"/>
      <c r="N7" s="5" t="s">
        <v>85</v>
      </c>
      <c r="O7" s="5" t="s">
        <v>33</v>
      </c>
      <c r="P7" s="5" t="s">
        <v>86</v>
      </c>
      <c r="Q7" s="5" t="s">
        <v>87</v>
      </c>
      <c r="R7" s="5" t="s">
        <v>36</v>
      </c>
      <c r="S7" s="5" t="s">
        <v>88</v>
      </c>
      <c r="T7" s="4" t="str">
        <f t="shared" si="1"/>
        <v>Mantener / evidenciar</v>
      </c>
      <c r="U7" s="4" t="str">
        <f t="shared" si="2"/>
        <v>Mantener evidencia y revisión periódica</v>
      </c>
      <c r="V7" s="4" t="str">
        <f t="shared" si="3"/>
        <v>Revisión periódica</v>
      </c>
      <c r="W7" s="11">
        <f t="shared" si="4"/>
        <v>0</v>
      </c>
      <c r="X7" s="4" t="str">
        <f t="shared" si="5"/>
        <v>Mantenimiento</v>
      </c>
    </row>
    <row r="8" spans="1:24" ht="38.25">
      <c r="A8" s="5">
        <v>7</v>
      </c>
      <c r="B8" s="5" t="s">
        <v>68</v>
      </c>
      <c r="C8" s="5" t="s">
        <v>89</v>
      </c>
      <c r="D8" s="5" t="s">
        <v>90</v>
      </c>
      <c r="E8" s="5" t="s">
        <v>91</v>
      </c>
      <c r="F8" s="5" t="s">
        <v>92</v>
      </c>
      <c r="G8" s="5" t="s">
        <v>29</v>
      </c>
      <c r="H8" s="5" t="s">
        <v>92</v>
      </c>
      <c r="I8" s="5" t="s">
        <v>93</v>
      </c>
      <c r="J8" s="5">
        <v>1</v>
      </c>
      <c r="K8" s="5" t="str">
        <f t="shared" si="0"/>
        <v>Cumple</v>
      </c>
      <c r="L8" s="5"/>
      <c r="M8" s="5"/>
      <c r="N8" s="5" t="s">
        <v>94</v>
      </c>
      <c r="O8" s="5" t="s">
        <v>33</v>
      </c>
      <c r="P8" s="5" t="s">
        <v>95</v>
      </c>
      <c r="Q8" s="5" t="s">
        <v>96</v>
      </c>
      <c r="R8" s="5" t="s">
        <v>36</v>
      </c>
      <c r="S8" s="5" t="s">
        <v>97</v>
      </c>
      <c r="T8" s="4" t="str">
        <f t="shared" si="1"/>
        <v>Mantener / evidenciar</v>
      </c>
      <c r="U8" s="4" t="str">
        <f t="shared" si="2"/>
        <v>Mantener evidencia y revisión periódica</v>
      </c>
      <c r="V8" s="4" t="str">
        <f t="shared" si="3"/>
        <v>Revisión periódica</v>
      </c>
      <c r="W8" s="11">
        <f t="shared" si="4"/>
        <v>0</v>
      </c>
      <c r="X8" s="4" t="str">
        <f t="shared" si="5"/>
        <v>Mantenimiento</v>
      </c>
    </row>
    <row r="9" spans="1:24" ht="38.25">
      <c r="A9" s="5">
        <v>8</v>
      </c>
      <c r="B9" s="5" t="s">
        <v>68</v>
      </c>
      <c r="C9" s="5" t="s">
        <v>98</v>
      </c>
      <c r="D9" s="5" t="s">
        <v>99</v>
      </c>
      <c r="E9" s="5" t="s">
        <v>100</v>
      </c>
      <c r="F9" s="5" t="s">
        <v>101</v>
      </c>
      <c r="G9" s="5" t="s">
        <v>29</v>
      </c>
      <c r="H9" s="5" t="s">
        <v>101</v>
      </c>
      <c r="I9" s="5" t="s">
        <v>102</v>
      </c>
      <c r="J9" s="5">
        <v>1</v>
      </c>
      <c r="K9" s="5" t="str">
        <f t="shared" si="0"/>
        <v>Cumple</v>
      </c>
      <c r="L9" s="5"/>
      <c r="M9" s="5"/>
      <c r="N9" s="5" t="s">
        <v>103</v>
      </c>
      <c r="O9" s="5" t="s">
        <v>33</v>
      </c>
      <c r="P9" s="5" t="s">
        <v>104</v>
      </c>
      <c r="Q9" s="5" t="s">
        <v>105</v>
      </c>
      <c r="R9" s="5" t="s">
        <v>36</v>
      </c>
      <c r="S9" s="5" t="s">
        <v>106</v>
      </c>
      <c r="T9" s="4" t="str">
        <f t="shared" si="1"/>
        <v>Mantener / evidenciar</v>
      </c>
      <c r="U9" s="4" t="str">
        <f t="shared" si="2"/>
        <v>Mantener evidencia y revisión periódica</v>
      </c>
      <c r="V9" s="4" t="str">
        <f t="shared" si="3"/>
        <v>Revisión periódica</v>
      </c>
      <c r="W9" s="11">
        <f t="shared" si="4"/>
        <v>0</v>
      </c>
      <c r="X9" s="4" t="str">
        <f t="shared" si="5"/>
        <v>Mantenimiento</v>
      </c>
    </row>
    <row r="10" spans="1:24" ht="51">
      <c r="A10" s="5">
        <v>9</v>
      </c>
      <c r="B10" s="5" t="s">
        <v>68</v>
      </c>
      <c r="C10" s="5" t="s">
        <v>107</v>
      </c>
      <c r="D10" s="5" t="s">
        <v>108</v>
      </c>
      <c r="E10" s="5" t="s">
        <v>109</v>
      </c>
      <c r="F10" s="5" t="s">
        <v>110</v>
      </c>
      <c r="G10" s="5" t="s">
        <v>29</v>
      </c>
      <c r="H10" s="5" t="s">
        <v>110</v>
      </c>
      <c r="I10" s="5" t="s">
        <v>111</v>
      </c>
      <c r="J10" s="5">
        <v>1</v>
      </c>
      <c r="K10" s="5" t="str">
        <f t="shared" si="0"/>
        <v>Cumple</v>
      </c>
      <c r="L10" s="5"/>
      <c r="M10" s="5"/>
      <c r="N10" s="5" t="s">
        <v>112</v>
      </c>
      <c r="O10" s="5" t="s">
        <v>33</v>
      </c>
      <c r="P10" s="5" t="s">
        <v>113</v>
      </c>
      <c r="Q10" s="5" t="s">
        <v>114</v>
      </c>
      <c r="R10" s="5" t="s">
        <v>36</v>
      </c>
      <c r="S10" s="5" t="s">
        <v>115</v>
      </c>
      <c r="T10" s="4" t="str">
        <f t="shared" si="1"/>
        <v>Mantener / evidenciar</v>
      </c>
      <c r="U10" s="4" t="str">
        <f t="shared" si="2"/>
        <v>Mantener evidencia y revisión periódica</v>
      </c>
      <c r="V10" s="4" t="str">
        <f t="shared" si="3"/>
        <v>Revisión periódica</v>
      </c>
      <c r="W10" s="11">
        <f t="shared" si="4"/>
        <v>0</v>
      </c>
      <c r="X10" s="4" t="str">
        <f t="shared" si="5"/>
        <v>Mantenimiento</v>
      </c>
    </row>
    <row r="11" spans="1:24" ht="38.25">
      <c r="A11" s="5">
        <v>10</v>
      </c>
      <c r="B11" s="5" t="s">
        <v>68</v>
      </c>
      <c r="C11" s="5" t="s">
        <v>116</v>
      </c>
      <c r="D11" s="5" t="s">
        <v>117</v>
      </c>
      <c r="E11" s="5" t="s">
        <v>118</v>
      </c>
      <c r="F11" s="5" t="s">
        <v>119</v>
      </c>
      <c r="G11" s="5" t="s">
        <v>29</v>
      </c>
      <c r="H11" s="5" t="s">
        <v>62</v>
      </c>
      <c r="I11" s="5" t="s">
        <v>120</v>
      </c>
      <c r="J11" s="5">
        <v>1</v>
      </c>
      <c r="K11" s="5" t="str">
        <f t="shared" si="0"/>
        <v>Cumple</v>
      </c>
      <c r="L11" s="5"/>
      <c r="M11" s="5"/>
      <c r="N11" s="5" t="s">
        <v>121</v>
      </c>
      <c r="O11" s="5" t="s">
        <v>33</v>
      </c>
      <c r="P11" s="5" t="s">
        <v>122</v>
      </c>
      <c r="Q11" s="5" t="s">
        <v>123</v>
      </c>
      <c r="R11" s="5" t="s">
        <v>36</v>
      </c>
      <c r="S11" s="5" t="s">
        <v>124</v>
      </c>
      <c r="T11" s="4" t="str">
        <f t="shared" si="1"/>
        <v>Mantener / evidenciar</v>
      </c>
      <c r="U11" s="4" t="str">
        <f t="shared" si="2"/>
        <v>Mantener evidencia y revisión periódica</v>
      </c>
      <c r="V11" s="4" t="str">
        <f t="shared" si="3"/>
        <v>Revisión periódica</v>
      </c>
      <c r="W11" s="11">
        <f t="shared" si="4"/>
        <v>0</v>
      </c>
      <c r="X11" s="4" t="str">
        <f t="shared" si="5"/>
        <v>Mantenimiento</v>
      </c>
    </row>
    <row r="12" spans="1:24" ht="25.5">
      <c r="A12" s="5">
        <v>11</v>
      </c>
      <c r="B12" s="5" t="s">
        <v>68</v>
      </c>
      <c r="C12" s="5" t="s">
        <v>125</v>
      </c>
      <c r="D12" s="5" t="s">
        <v>126</v>
      </c>
      <c r="E12" s="5" t="s">
        <v>127</v>
      </c>
      <c r="F12" s="5" t="s">
        <v>128</v>
      </c>
      <c r="G12" s="5" t="s">
        <v>29</v>
      </c>
      <c r="H12" s="5" t="s">
        <v>129</v>
      </c>
      <c r="I12" s="5" t="s">
        <v>130</v>
      </c>
      <c r="J12" s="5">
        <v>0</v>
      </c>
      <c r="K12" s="5" t="str">
        <f t="shared" si="0"/>
        <v>No cumple</v>
      </c>
      <c r="L12" s="5"/>
      <c r="M12" s="5"/>
      <c r="N12" s="5" t="s">
        <v>131</v>
      </c>
      <c r="O12" s="5" t="s">
        <v>33</v>
      </c>
      <c r="P12" s="5" t="s">
        <v>45</v>
      </c>
      <c r="Q12" s="5" t="s">
        <v>132</v>
      </c>
      <c r="R12" s="5" t="s">
        <v>36</v>
      </c>
      <c r="S12" s="5" t="s">
        <v>133</v>
      </c>
      <c r="T12" s="4" t="str">
        <f t="shared" si="1"/>
        <v>Implementar control</v>
      </c>
      <c r="U12" s="4" t="str">
        <f t="shared" si="2"/>
        <v>Diseñar, aprobar e implementar control requerido</v>
      </c>
      <c r="V12" s="4" t="str">
        <f t="shared" si="3"/>
        <v>0-30 días</v>
      </c>
      <c r="W12" s="11">
        <f t="shared" si="4"/>
        <v>3</v>
      </c>
      <c r="X12" s="4" t="str">
        <f t="shared" si="5"/>
        <v>Fase 1 - Gobierno y SGSI</v>
      </c>
    </row>
    <row r="13" spans="1:24" ht="25.5">
      <c r="A13" s="5">
        <v>12</v>
      </c>
      <c r="B13" s="5" t="s">
        <v>68</v>
      </c>
      <c r="C13" s="5" t="s">
        <v>121</v>
      </c>
      <c r="D13" s="5" t="s">
        <v>134</v>
      </c>
      <c r="E13" s="5" t="s">
        <v>135</v>
      </c>
      <c r="F13" s="5" t="s">
        <v>136</v>
      </c>
      <c r="G13" s="5" t="s">
        <v>29</v>
      </c>
      <c r="H13" s="5" t="s">
        <v>62</v>
      </c>
      <c r="I13" s="5" t="s">
        <v>137</v>
      </c>
      <c r="J13" s="5">
        <v>1</v>
      </c>
      <c r="K13" s="5" t="str">
        <f t="shared" si="0"/>
        <v>Cumple</v>
      </c>
      <c r="L13" s="5"/>
      <c r="M13" s="5" t="s">
        <v>1203</v>
      </c>
      <c r="N13" s="5" t="s">
        <v>121</v>
      </c>
      <c r="O13" s="5" t="s">
        <v>33</v>
      </c>
      <c r="P13" s="5" t="s">
        <v>138</v>
      </c>
      <c r="Q13" s="5" t="s">
        <v>139</v>
      </c>
      <c r="R13" s="5" t="s">
        <v>36</v>
      </c>
      <c r="S13" s="5" t="s">
        <v>140</v>
      </c>
      <c r="T13" s="4" t="str">
        <f t="shared" si="1"/>
        <v>Mantener / evidenciar</v>
      </c>
      <c r="U13" s="4" t="str">
        <f t="shared" si="2"/>
        <v>Mantener evidencia y revisión periódica</v>
      </c>
      <c r="V13" s="4" t="str">
        <f t="shared" si="3"/>
        <v>Revisión periódica</v>
      </c>
      <c r="W13" s="11">
        <f t="shared" si="4"/>
        <v>0</v>
      </c>
      <c r="X13" s="4" t="str">
        <f t="shared" si="5"/>
        <v>Mantenimiento</v>
      </c>
    </row>
    <row r="14" spans="1:24" ht="38.25">
      <c r="A14" s="5">
        <v>13</v>
      </c>
      <c r="B14" s="5" t="s">
        <v>68</v>
      </c>
      <c r="C14" s="5" t="s">
        <v>141</v>
      </c>
      <c r="D14" s="5" t="s">
        <v>142</v>
      </c>
      <c r="E14" s="5" t="s">
        <v>143</v>
      </c>
      <c r="F14" s="5" t="s">
        <v>144</v>
      </c>
      <c r="G14" s="5" t="s">
        <v>29</v>
      </c>
      <c r="H14" s="5" t="s">
        <v>62</v>
      </c>
      <c r="I14" s="5" t="s">
        <v>145</v>
      </c>
      <c r="J14" s="5" t="s">
        <v>1199</v>
      </c>
      <c r="K14" s="5" t="str">
        <f t="shared" si="0"/>
        <v>Parcial</v>
      </c>
      <c r="L14" s="5"/>
      <c r="M14" s="5" t="s">
        <v>1204</v>
      </c>
      <c r="N14" s="5" t="s">
        <v>146</v>
      </c>
      <c r="O14" s="5" t="s">
        <v>33</v>
      </c>
      <c r="P14" s="5" t="s">
        <v>147</v>
      </c>
      <c r="Q14" s="5" t="s">
        <v>148</v>
      </c>
      <c r="R14" s="5" t="s">
        <v>36</v>
      </c>
      <c r="S14" s="5" t="s">
        <v>149</v>
      </c>
      <c r="T14" s="4" t="str">
        <f t="shared" si="1"/>
        <v>Cerrar brecha parcial</v>
      </c>
      <c r="U14" s="4" t="str">
        <f t="shared" si="2"/>
        <v>Completar documentación/control y validar efectividad</v>
      </c>
      <c r="V14" s="4" t="str">
        <f t="shared" si="3"/>
        <v>0-45 días</v>
      </c>
      <c r="W14" s="11">
        <f t="shared" si="4"/>
        <v>2</v>
      </c>
      <c r="X14" s="4" t="str">
        <f t="shared" si="5"/>
        <v>Fase 1 - Gobierno y SGSI</v>
      </c>
    </row>
    <row r="15" spans="1:24" ht="38.25">
      <c r="A15" s="5">
        <v>14</v>
      </c>
      <c r="B15" s="5" t="s">
        <v>68</v>
      </c>
      <c r="C15" s="5" t="s">
        <v>150</v>
      </c>
      <c r="D15" s="5" t="s">
        <v>151</v>
      </c>
      <c r="E15" s="5" t="s">
        <v>152</v>
      </c>
      <c r="F15" s="5" t="s">
        <v>153</v>
      </c>
      <c r="G15" s="5" t="s">
        <v>29</v>
      </c>
      <c r="H15" s="5" t="s">
        <v>154</v>
      </c>
      <c r="I15" s="5" t="s">
        <v>155</v>
      </c>
      <c r="J15" s="5" t="s">
        <v>1199</v>
      </c>
      <c r="K15" s="5" t="str">
        <f t="shared" si="0"/>
        <v>Parcial</v>
      </c>
      <c r="L15" s="5"/>
      <c r="M15" s="5" t="s">
        <v>1205</v>
      </c>
      <c r="N15" s="5" t="s">
        <v>156</v>
      </c>
      <c r="O15" s="5" t="s">
        <v>65</v>
      </c>
      <c r="P15" s="5" t="s">
        <v>55</v>
      </c>
      <c r="Q15" s="5" t="s">
        <v>157</v>
      </c>
      <c r="R15" s="5" t="s">
        <v>36</v>
      </c>
      <c r="S15" s="5" t="s">
        <v>158</v>
      </c>
      <c r="T15" s="4" t="str">
        <f t="shared" si="1"/>
        <v>Cerrar brecha parcial</v>
      </c>
      <c r="U15" s="4" t="str">
        <f t="shared" si="2"/>
        <v>Completar documentación/control y validar efectividad</v>
      </c>
      <c r="V15" s="4" t="str">
        <f t="shared" si="3"/>
        <v>31-75 días</v>
      </c>
      <c r="W15" s="11">
        <f t="shared" si="4"/>
        <v>1.5</v>
      </c>
      <c r="X15" s="4" t="str">
        <f t="shared" si="5"/>
        <v>Fase 1 - Gobierno y SGSI</v>
      </c>
    </row>
    <row r="16" spans="1:24" ht="28.5">
      <c r="A16" s="5">
        <v>15</v>
      </c>
      <c r="B16" s="5" t="s">
        <v>159</v>
      </c>
      <c r="C16" s="5" t="s">
        <v>160</v>
      </c>
      <c r="D16" s="5" t="s">
        <v>161</v>
      </c>
      <c r="E16" s="5" t="s">
        <v>162</v>
      </c>
      <c r="F16" s="5" t="s">
        <v>163</v>
      </c>
      <c r="G16" s="5" t="s">
        <v>29</v>
      </c>
      <c r="H16" s="5" t="s">
        <v>163</v>
      </c>
      <c r="I16" s="5" t="s">
        <v>164</v>
      </c>
      <c r="J16" s="5" t="s">
        <v>1199</v>
      </c>
      <c r="K16" s="5" t="str">
        <f t="shared" si="0"/>
        <v>Parcial</v>
      </c>
      <c r="L16" s="5"/>
      <c r="M16" s="5" t="s">
        <v>1206</v>
      </c>
      <c r="N16" s="5" t="s">
        <v>44</v>
      </c>
      <c r="O16" s="5" t="s">
        <v>33</v>
      </c>
      <c r="P16" s="5" t="s">
        <v>138</v>
      </c>
      <c r="Q16" s="5" t="s">
        <v>165</v>
      </c>
      <c r="R16" s="5" t="s">
        <v>36</v>
      </c>
      <c r="S16" s="5" t="s">
        <v>166</v>
      </c>
      <c r="T16" s="4" t="str">
        <f t="shared" si="1"/>
        <v>Cerrar brecha parcial</v>
      </c>
      <c r="U16" s="4" t="str">
        <f t="shared" si="2"/>
        <v>Completar documentación/control y validar efectividad</v>
      </c>
      <c r="V16" s="4" t="str">
        <f t="shared" si="3"/>
        <v>0-45 días</v>
      </c>
      <c r="W16" s="11">
        <f t="shared" si="4"/>
        <v>2</v>
      </c>
      <c r="X16" s="4" t="str">
        <f t="shared" si="5"/>
        <v>Fase 1 - Gobierno y SGSI</v>
      </c>
    </row>
    <row r="17" spans="1:24" ht="28.5">
      <c r="A17" s="5">
        <v>16</v>
      </c>
      <c r="B17" s="5" t="s">
        <v>159</v>
      </c>
      <c r="C17" s="5" t="s">
        <v>167</v>
      </c>
      <c r="D17" s="5" t="s">
        <v>168</v>
      </c>
      <c r="E17" s="5" t="s">
        <v>169</v>
      </c>
      <c r="F17" s="5" t="s">
        <v>170</v>
      </c>
      <c r="G17" s="5" t="s">
        <v>29</v>
      </c>
      <c r="H17" s="5" t="s">
        <v>171</v>
      </c>
      <c r="I17" s="5" t="s">
        <v>172</v>
      </c>
      <c r="J17" s="5" t="s">
        <v>1199</v>
      </c>
      <c r="K17" s="5" t="str">
        <f t="shared" si="0"/>
        <v>Parcial</v>
      </c>
      <c r="L17" s="5"/>
      <c r="M17" s="5" t="s">
        <v>1207</v>
      </c>
      <c r="N17" s="5" t="s">
        <v>173</v>
      </c>
      <c r="O17" s="5" t="s">
        <v>33</v>
      </c>
      <c r="P17" s="5" t="s">
        <v>45</v>
      </c>
      <c r="Q17" s="5" t="s">
        <v>174</v>
      </c>
      <c r="R17" s="5" t="s">
        <v>36</v>
      </c>
      <c r="S17" s="5" t="s">
        <v>175</v>
      </c>
      <c r="T17" s="4" t="str">
        <f t="shared" si="1"/>
        <v>Cerrar brecha parcial</v>
      </c>
      <c r="U17" s="4" t="str">
        <f t="shared" si="2"/>
        <v>Completar documentación/control y validar efectividad</v>
      </c>
      <c r="V17" s="4" t="str">
        <f t="shared" si="3"/>
        <v>0-45 días</v>
      </c>
      <c r="W17" s="11">
        <f t="shared" si="4"/>
        <v>2</v>
      </c>
      <c r="X17" s="4" t="str">
        <f t="shared" si="5"/>
        <v>Fase 1 - Gobierno y SGSI</v>
      </c>
    </row>
    <row r="18" spans="1:24" ht="28.5">
      <c r="A18" s="5">
        <v>17</v>
      </c>
      <c r="B18" s="5" t="s">
        <v>159</v>
      </c>
      <c r="C18" s="5" t="s">
        <v>176</v>
      </c>
      <c r="D18" s="5" t="s">
        <v>177</v>
      </c>
      <c r="E18" s="5" t="s">
        <v>178</v>
      </c>
      <c r="F18" s="5" t="s">
        <v>179</v>
      </c>
      <c r="G18" s="5" t="s">
        <v>29</v>
      </c>
      <c r="H18" s="5" t="s">
        <v>180</v>
      </c>
      <c r="I18" s="5" t="s">
        <v>181</v>
      </c>
      <c r="J18" s="5" t="s">
        <v>1199</v>
      </c>
      <c r="K18" s="5" t="str">
        <f t="shared" si="0"/>
        <v>Parcial</v>
      </c>
      <c r="L18" s="5"/>
      <c r="M18" s="5" t="s">
        <v>1208</v>
      </c>
      <c r="N18" s="5" t="s">
        <v>182</v>
      </c>
      <c r="O18" s="5" t="s">
        <v>33</v>
      </c>
      <c r="P18" s="5" t="s">
        <v>183</v>
      </c>
      <c r="Q18" s="5" t="s">
        <v>184</v>
      </c>
      <c r="R18" s="5" t="s">
        <v>36</v>
      </c>
      <c r="S18" s="5" t="s">
        <v>185</v>
      </c>
      <c r="T18" s="4" t="str">
        <f t="shared" si="1"/>
        <v>Cerrar brecha parcial</v>
      </c>
      <c r="U18" s="4" t="str">
        <f t="shared" si="2"/>
        <v>Completar documentación/control y validar efectividad</v>
      </c>
      <c r="V18" s="4" t="str">
        <f t="shared" si="3"/>
        <v>0-45 días</v>
      </c>
      <c r="W18" s="11">
        <f t="shared" si="4"/>
        <v>2</v>
      </c>
      <c r="X18" s="4" t="str">
        <f t="shared" si="5"/>
        <v>Fase 1 - Gobierno y SGSI</v>
      </c>
    </row>
    <row r="19" spans="1:24" ht="28.5">
      <c r="A19" s="5">
        <v>18</v>
      </c>
      <c r="B19" s="5" t="s">
        <v>159</v>
      </c>
      <c r="C19" s="5" t="s">
        <v>186</v>
      </c>
      <c r="D19" s="5" t="s">
        <v>187</v>
      </c>
      <c r="E19" s="5" t="s">
        <v>188</v>
      </c>
      <c r="F19" s="5" t="s">
        <v>189</v>
      </c>
      <c r="G19" s="5" t="s">
        <v>29</v>
      </c>
      <c r="H19" s="5" t="s">
        <v>190</v>
      </c>
      <c r="I19" s="5" t="s">
        <v>191</v>
      </c>
      <c r="J19" s="5">
        <v>0</v>
      </c>
      <c r="K19" s="5" t="str">
        <f t="shared" si="0"/>
        <v>No cumple</v>
      </c>
      <c r="L19" s="5"/>
      <c r="M19" s="5" t="s">
        <v>1209</v>
      </c>
      <c r="N19" s="5" t="s">
        <v>44</v>
      </c>
      <c r="O19" s="5" t="s">
        <v>33</v>
      </c>
      <c r="P19" s="5" t="s">
        <v>192</v>
      </c>
      <c r="Q19" s="5" t="s">
        <v>193</v>
      </c>
      <c r="R19" s="5" t="s">
        <v>36</v>
      </c>
      <c r="S19" s="5" t="s">
        <v>194</v>
      </c>
      <c r="T19" s="4" t="str">
        <f t="shared" si="1"/>
        <v>Implementar control</v>
      </c>
      <c r="U19" s="4" t="str">
        <f t="shared" si="2"/>
        <v>Diseñar, aprobar e implementar control requerido</v>
      </c>
      <c r="V19" s="4" t="str">
        <f t="shared" si="3"/>
        <v>0-30 días</v>
      </c>
      <c r="W19" s="11">
        <f t="shared" si="4"/>
        <v>3</v>
      </c>
      <c r="X19" s="4" t="str">
        <f t="shared" si="5"/>
        <v>Fase 1 - Gobierno y SGSI</v>
      </c>
    </row>
    <row r="20" spans="1:24" ht="51">
      <c r="A20" s="5">
        <v>19</v>
      </c>
      <c r="B20" s="5" t="s">
        <v>159</v>
      </c>
      <c r="C20" s="5" t="s">
        <v>195</v>
      </c>
      <c r="D20" s="5" t="s">
        <v>196</v>
      </c>
      <c r="E20" s="5" t="s">
        <v>197</v>
      </c>
      <c r="F20" s="5" t="s">
        <v>198</v>
      </c>
      <c r="G20" s="5" t="s">
        <v>29</v>
      </c>
      <c r="H20" s="5" t="s">
        <v>199</v>
      </c>
      <c r="I20" s="5" t="s">
        <v>200</v>
      </c>
      <c r="J20" s="5">
        <v>1</v>
      </c>
      <c r="K20" s="5" t="str">
        <f t="shared" si="0"/>
        <v>Cumple</v>
      </c>
      <c r="L20" s="5"/>
      <c r="M20" s="5" t="s">
        <v>1210</v>
      </c>
      <c r="N20" s="5" t="s">
        <v>201</v>
      </c>
      <c r="O20" s="5" t="s">
        <v>65</v>
      </c>
      <c r="P20" s="5" t="s">
        <v>202</v>
      </c>
      <c r="Q20" s="5" t="s">
        <v>203</v>
      </c>
      <c r="R20" s="5" t="s">
        <v>36</v>
      </c>
      <c r="S20" s="5" t="s">
        <v>204</v>
      </c>
      <c r="T20" s="4" t="str">
        <f t="shared" si="1"/>
        <v>Mantener / evidenciar</v>
      </c>
      <c r="U20" s="4" t="str">
        <f t="shared" si="2"/>
        <v>Mantener evidencia y revisión periódica</v>
      </c>
      <c r="V20" s="4" t="str">
        <f t="shared" si="3"/>
        <v>Revisión periódica</v>
      </c>
      <c r="W20" s="11">
        <f t="shared" si="4"/>
        <v>0</v>
      </c>
      <c r="X20" s="4" t="str">
        <f t="shared" si="5"/>
        <v>Mantenimiento</v>
      </c>
    </row>
    <row r="21" spans="1:24" ht="38.25">
      <c r="A21" s="5">
        <v>20</v>
      </c>
      <c r="B21" s="5" t="s">
        <v>159</v>
      </c>
      <c r="C21" s="5" t="s">
        <v>205</v>
      </c>
      <c r="D21" s="5" t="s">
        <v>206</v>
      </c>
      <c r="E21" s="5" t="s">
        <v>207</v>
      </c>
      <c r="F21" s="5" t="s">
        <v>208</v>
      </c>
      <c r="G21" s="5" t="s">
        <v>29</v>
      </c>
      <c r="H21" s="5" t="s">
        <v>62</v>
      </c>
      <c r="I21" s="5" t="s">
        <v>209</v>
      </c>
      <c r="J21" s="5">
        <v>0</v>
      </c>
      <c r="K21" s="5" t="str">
        <f t="shared" si="0"/>
        <v>No cumple</v>
      </c>
      <c r="L21" s="5"/>
      <c r="M21" s="5" t="s">
        <v>1211</v>
      </c>
      <c r="N21" s="5" t="s">
        <v>210</v>
      </c>
      <c r="O21" s="5" t="s">
        <v>33</v>
      </c>
      <c r="P21" s="5" t="s">
        <v>138</v>
      </c>
      <c r="Q21" s="5" t="s">
        <v>211</v>
      </c>
      <c r="R21" s="5" t="s">
        <v>36</v>
      </c>
      <c r="S21" s="5" t="s">
        <v>212</v>
      </c>
      <c r="T21" s="4" t="str">
        <f t="shared" si="1"/>
        <v>Implementar control</v>
      </c>
      <c r="U21" s="4" t="str">
        <f t="shared" si="2"/>
        <v>Diseñar, aprobar e implementar control requerido</v>
      </c>
      <c r="V21" s="4" t="str">
        <f t="shared" si="3"/>
        <v>0-30 días</v>
      </c>
      <c r="W21" s="11">
        <f t="shared" si="4"/>
        <v>3</v>
      </c>
      <c r="X21" s="4" t="str">
        <f t="shared" si="5"/>
        <v>Fase 1 - Gobierno y SGSI</v>
      </c>
    </row>
    <row r="22" spans="1:24" ht="114.75">
      <c r="A22" s="5">
        <v>21</v>
      </c>
      <c r="B22" s="5" t="s">
        <v>159</v>
      </c>
      <c r="C22" s="5" t="s">
        <v>213</v>
      </c>
      <c r="D22" s="5" t="s">
        <v>214</v>
      </c>
      <c r="E22" s="5" t="s">
        <v>215</v>
      </c>
      <c r="F22" s="5" t="s">
        <v>216</v>
      </c>
      <c r="G22" s="5" t="s">
        <v>217</v>
      </c>
      <c r="H22" s="5" t="s">
        <v>218</v>
      </c>
      <c r="I22" s="5" t="s">
        <v>219</v>
      </c>
      <c r="J22" s="5" t="s">
        <v>1199</v>
      </c>
      <c r="K22" s="5" t="str">
        <f t="shared" si="0"/>
        <v>Parcial</v>
      </c>
      <c r="L22" s="5"/>
      <c r="M22" s="5" t="s">
        <v>1212</v>
      </c>
      <c r="N22" s="5" t="s">
        <v>220</v>
      </c>
      <c r="O22" s="5" t="s">
        <v>33</v>
      </c>
      <c r="P22" s="5" t="s">
        <v>45</v>
      </c>
      <c r="Q22" s="5" t="s">
        <v>221</v>
      </c>
      <c r="R22" s="5" t="s">
        <v>36</v>
      </c>
      <c r="S22" s="5" t="s">
        <v>222</v>
      </c>
      <c r="T22" s="4" t="str">
        <f t="shared" si="1"/>
        <v>Cerrar brecha parcial</v>
      </c>
      <c r="U22" s="4" t="str">
        <f t="shared" si="2"/>
        <v>Completar documentación/control y validar efectividad</v>
      </c>
      <c r="V22" s="4" t="str">
        <f t="shared" si="3"/>
        <v>0-45 días</v>
      </c>
      <c r="W22" s="11">
        <f t="shared" si="4"/>
        <v>2</v>
      </c>
      <c r="X22" s="4" t="str">
        <f t="shared" si="5"/>
        <v>Fase 1 - Gobierno y SGSI</v>
      </c>
    </row>
    <row r="23" spans="1:24" ht="38.25">
      <c r="A23" s="5">
        <v>22</v>
      </c>
      <c r="B23" s="5" t="s">
        <v>223</v>
      </c>
      <c r="C23" s="5" t="s">
        <v>224</v>
      </c>
      <c r="D23" s="5" t="s">
        <v>225</v>
      </c>
      <c r="E23" s="5" t="s">
        <v>226</v>
      </c>
      <c r="F23" s="5" t="s">
        <v>227</v>
      </c>
      <c r="G23" s="5" t="s">
        <v>29</v>
      </c>
      <c r="H23" s="5" t="s">
        <v>228</v>
      </c>
      <c r="I23" s="5" t="s">
        <v>229</v>
      </c>
      <c r="J23" s="5" t="s">
        <v>1199</v>
      </c>
      <c r="K23" s="5" t="str">
        <f t="shared" si="0"/>
        <v>Parcial</v>
      </c>
      <c r="L23" s="5"/>
      <c r="M23" s="5" t="s">
        <v>1213</v>
      </c>
      <c r="N23" s="5" t="s">
        <v>230</v>
      </c>
      <c r="O23" s="5" t="s">
        <v>33</v>
      </c>
      <c r="P23" s="5" t="s">
        <v>45</v>
      </c>
      <c r="Q23" s="5" t="s">
        <v>231</v>
      </c>
      <c r="R23" s="5" t="s">
        <v>36</v>
      </c>
      <c r="S23" s="5" t="s">
        <v>232</v>
      </c>
      <c r="T23" s="4" t="str">
        <f t="shared" si="1"/>
        <v>Cerrar brecha parcial</v>
      </c>
      <c r="U23" s="4" t="str">
        <f t="shared" si="2"/>
        <v>Completar documentación/control y validar efectividad</v>
      </c>
      <c r="V23" s="4" t="str">
        <f t="shared" si="3"/>
        <v>0-45 días</v>
      </c>
      <c r="W23" s="11">
        <f t="shared" si="4"/>
        <v>2</v>
      </c>
      <c r="X23" s="4" t="str">
        <f t="shared" si="5"/>
        <v>Fase 2 - Riesgos y operación</v>
      </c>
    </row>
    <row r="24" spans="1:24" ht="38.25">
      <c r="A24" s="5">
        <v>23</v>
      </c>
      <c r="B24" s="5" t="s">
        <v>223</v>
      </c>
      <c r="C24" s="5" t="s">
        <v>233</v>
      </c>
      <c r="D24" s="5" t="s">
        <v>234</v>
      </c>
      <c r="E24" s="5" t="s">
        <v>235</v>
      </c>
      <c r="F24" s="5" t="s">
        <v>236</v>
      </c>
      <c r="G24" s="5" t="s">
        <v>29</v>
      </c>
      <c r="H24" s="5" t="s">
        <v>237</v>
      </c>
      <c r="I24" s="5" t="s">
        <v>238</v>
      </c>
      <c r="J24" s="5" t="s">
        <v>1199</v>
      </c>
      <c r="K24" s="5" t="str">
        <f t="shared" si="0"/>
        <v>Parcial</v>
      </c>
      <c r="L24" s="5"/>
      <c r="M24" s="5" t="s">
        <v>1214</v>
      </c>
      <c r="N24" s="5" t="s">
        <v>239</v>
      </c>
      <c r="O24" s="5" t="s">
        <v>33</v>
      </c>
      <c r="P24" s="5" t="s">
        <v>240</v>
      </c>
      <c r="Q24" s="5" t="s">
        <v>241</v>
      </c>
      <c r="R24" s="5" t="s">
        <v>36</v>
      </c>
      <c r="S24" s="5" t="s">
        <v>242</v>
      </c>
      <c r="T24" s="4" t="str">
        <f t="shared" si="1"/>
        <v>Cerrar brecha parcial</v>
      </c>
      <c r="U24" s="4" t="str">
        <f t="shared" si="2"/>
        <v>Completar documentación/control y validar efectividad</v>
      </c>
      <c r="V24" s="4" t="str">
        <f t="shared" si="3"/>
        <v>0-45 días</v>
      </c>
      <c r="W24" s="11">
        <f t="shared" si="4"/>
        <v>2</v>
      </c>
      <c r="X24" s="4" t="str">
        <f t="shared" si="5"/>
        <v>Fase 2 - Riesgos y operación</v>
      </c>
    </row>
    <row r="25" spans="1:24" ht="38.25">
      <c r="A25" s="5">
        <v>24</v>
      </c>
      <c r="B25" s="5" t="s">
        <v>223</v>
      </c>
      <c r="C25" s="5" t="s">
        <v>243</v>
      </c>
      <c r="D25" s="5" t="s">
        <v>244</v>
      </c>
      <c r="E25" s="5" t="s">
        <v>245</v>
      </c>
      <c r="F25" s="5" t="s">
        <v>246</v>
      </c>
      <c r="G25" s="5" t="s">
        <v>29</v>
      </c>
      <c r="H25" s="5" t="s">
        <v>246</v>
      </c>
      <c r="I25" s="5" t="s">
        <v>247</v>
      </c>
      <c r="J25" s="5" t="s">
        <v>1199</v>
      </c>
      <c r="K25" s="5" t="str">
        <f t="shared" si="0"/>
        <v>Parcial</v>
      </c>
      <c r="L25" s="5"/>
      <c r="M25" s="5" t="s">
        <v>1214</v>
      </c>
      <c r="N25" s="5" t="s">
        <v>248</v>
      </c>
      <c r="O25" s="5" t="s">
        <v>33</v>
      </c>
      <c r="P25" s="5" t="s">
        <v>249</v>
      </c>
      <c r="Q25" s="5" t="s">
        <v>250</v>
      </c>
      <c r="R25" s="5" t="s">
        <v>36</v>
      </c>
      <c r="S25" s="5" t="s">
        <v>251</v>
      </c>
      <c r="T25" s="4" t="str">
        <f t="shared" si="1"/>
        <v>Cerrar brecha parcial</v>
      </c>
      <c r="U25" s="4" t="str">
        <f t="shared" si="2"/>
        <v>Completar documentación/control y validar efectividad</v>
      </c>
      <c r="V25" s="4" t="str">
        <f t="shared" si="3"/>
        <v>0-45 días</v>
      </c>
      <c r="W25" s="11">
        <f t="shared" si="4"/>
        <v>2</v>
      </c>
      <c r="X25" s="4" t="str">
        <f t="shared" si="5"/>
        <v>Fase 2 - Riesgos y operación</v>
      </c>
    </row>
    <row r="26" spans="1:24" ht="38.25">
      <c r="A26" s="5">
        <v>25</v>
      </c>
      <c r="B26" s="5" t="s">
        <v>223</v>
      </c>
      <c r="C26" s="5" t="s">
        <v>252</v>
      </c>
      <c r="D26" s="5" t="s">
        <v>253</v>
      </c>
      <c r="E26" s="5" t="s">
        <v>254</v>
      </c>
      <c r="F26" s="5" t="s">
        <v>255</v>
      </c>
      <c r="G26" s="5" t="s">
        <v>29</v>
      </c>
      <c r="H26" s="5" t="s">
        <v>255</v>
      </c>
      <c r="I26" s="5" t="s">
        <v>256</v>
      </c>
      <c r="J26" s="5">
        <v>0</v>
      </c>
      <c r="K26" s="5" t="str">
        <f t="shared" si="0"/>
        <v>No cumple</v>
      </c>
      <c r="L26" s="5"/>
      <c r="M26" s="5" t="s">
        <v>1215</v>
      </c>
      <c r="N26" s="5" t="s">
        <v>257</v>
      </c>
      <c r="O26" s="5" t="s">
        <v>33</v>
      </c>
      <c r="P26" s="5" t="s">
        <v>258</v>
      </c>
      <c r="Q26" s="5" t="s">
        <v>259</v>
      </c>
      <c r="R26" s="5" t="s">
        <v>36</v>
      </c>
      <c r="S26" s="5" t="s">
        <v>260</v>
      </c>
      <c r="T26" s="4" t="str">
        <f t="shared" si="1"/>
        <v>Implementar control</v>
      </c>
      <c r="U26" s="4" t="str">
        <f t="shared" si="2"/>
        <v>Diseñar, aprobar e implementar control requerido</v>
      </c>
      <c r="V26" s="4" t="str">
        <f t="shared" si="3"/>
        <v>0-30 días</v>
      </c>
      <c r="W26" s="11">
        <f t="shared" si="4"/>
        <v>3</v>
      </c>
      <c r="X26" s="4" t="str">
        <f t="shared" si="5"/>
        <v>Fase 2 - Riesgos y operación</v>
      </c>
    </row>
    <row r="27" spans="1:24" ht="38.25">
      <c r="A27" s="5">
        <v>26</v>
      </c>
      <c r="B27" s="5" t="s">
        <v>223</v>
      </c>
      <c r="C27" s="5" t="s">
        <v>261</v>
      </c>
      <c r="D27" s="5" t="s">
        <v>262</v>
      </c>
      <c r="E27" s="5" t="s">
        <v>263</v>
      </c>
      <c r="F27" s="5" t="s">
        <v>264</v>
      </c>
      <c r="G27" s="5" t="s">
        <v>29</v>
      </c>
      <c r="H27" s="5" t="s">
        <v>265</v>
      </c>
      <c r="I27" s="5" t="s">
        <v>266</v>
      </c>
      <c r="J27" s="5">
        <v>0</v>
      </c>
      <c r="K27" s="5" t="str">
        <f t="shared" si="0"/>
        <v>No cumple</v>
      </c>
      <c r="L27" s="5"/>
      <c r="M27" s="5">
        <v>2027</v>
      </c>
      <c r="N27" s="5" t="s">
        <v>267</v>
      </c>
      <c r="O27" s="5" t="s">
        <v>33</v>
      </c>
      <c r="P27" s="5" t="s">
        <v>268</v>
      </c>
      <c r="Q27" s="5" t="s">
        <v>269</v>
      </c>
      <c r="R27" s="5" t="s">
        <v>36</v>
      </c>
      <c r="S27" s="5" t="s">
        <v>270</v>
      </c>
      <c r="T27" s="4" t="str">
        <f t="shared" si="1"/>
        <v>Implementar control</v>
      </c>
      <c r="U27" s="4" t="str">
        <f t="shared" si="2"/>
        <v>Diseñar, aprobar e implementar control requerido</v>
      </c>
      <c r="V27" s="4" t="str">
        <f t="shared" si="3"/>
        <v>0-30 días</v>
      </c>
      <c r="W27" s="11">
        <f t="shared" si="4"/>
        <v>3</v>
      </c>
      <c r="X27" s="4" t="str">
        <f t="shared" si="5"/>
        <v>Fase 2 - Riesgos y operación</v>
      </c>
    </row>
    <row r="28" spans="1:24" ht="38.25">
      <c r="A28" s="5">
        <v>27</v>
      </c>
      <c r="B28" s="5" t="s">
        <v>223</v>
      </c>
      <c r="C28" s="5" t="s">
        <v>271</v>
      </c>
      <c r="D28" s="5" t="s">
        <v>272</v>
      </c>
      <c r="E28" s="5" t="s">
        <v>273</v>
      </c>
      <c r="F28" s="5" t="s">
        <v>274</v>
      </c>
      <c r="G28" s="5" t="s">
        <v>29</v>
      </c>
      <c r="H28" s="5" t="s">
        <v>274</v>
      </c>
      <c r="I28" s="5" t="s">
        <v>275</v>
      </c>
      <c r="J28" s="5">
        <v>0</v>
      </c>
      <c r="K28" s="5" t="str">
        <f t="shared" si="0"/>
        <v>No cumple</v>
      </c>
      <c r="L28" s="5"/>
      <c r="M28" s="5">
        <v>2027</v>
      </c>
      <c r="N28" s="5" t="s">
        <v>248</v>
      </c>
      <c r="O28" s="5" t="s">
        <v>33</v>
      </c>
      <c r="P28" s="5" t="s">
        <v>276</v>
      </c>
      <c r="Q28" s="5" t="s">
        <v>277</v>
      </c>
      <c r="R28" s="5" t="s">
        <v>36</v>
      </c>
      <c r="S28" s="5" t="s">
        <v>278</v>
      </c>
      <c r="T28" s="4" t="str">
        <f t="shared" si="1"/>
        <v>Implementar control</v>
      </c>
      <c r="U28" s="4" t="str">
        <f t="shared" si="2"/>
        <v>Diseñar, aprobar e implementar control requerido</v>
      </c>
      <c r="V28" s="4" t="str">
        <f t="shared" si="3"/>
        <v>0-30 días</v>
      </c>
      <c r="W28" s="11">
        <f t="shared" si="4"/>
        <v>3</v>
      </c>
      <c r="X28" s="4" t="str">
        <f t="shared" si="5"/>
        <v>Fase 2 - Riesgos y operación</v>
      </c>
    </row>
    <row r="29" spans="1:24" ht="38.25">
      <c r="A29" s="5">
        <v>28</v>
      </c>
      <c r="B29" s="5" t="s">
        <v>223</v>
      </c>
      <c r="C29" s="5" t="s">
        <v>279</v>
      </c>
      <c r="D29" s="5" t="s">
        <v>280</v>
      </c>
      <c r="E29" s="5" t="s">
        <v>281</v>
      </c>
      <c r="F29" s="5" t="s">
        <v>282</v>
      </c>
      <c r="G29" s="5" t="s">
        <v>29</v>
      </c>
      <c r="H29" s="5" t="s">
        <v>282</v>
      </c>
      <c r="I29" s="5" t="s">
        <v>283</v>
      </c>
      <c r="J29" s="5">
        <v>1</v>
      </c>
      <c r="K29" s="5" t="str">
        <f t="shared" si="0"/>
        <v>Cumple</v>
      </c>
      <c r="L29" s="5"/>
      <c r="M29" s="5" t="s">
        <v>1217</v>
      </c>
      <c r="N29" s="5" t="s">
        <v>284</v>
      </c>
      <c r="O29" s="5" t="s">
        <v>33</v>
      </c>
      <c r="P29" s="5" t="s">
        <v>138</v>
      </c>
      <c r="Q29" s="5" t="s">
        <v>285</v>
      </c>
      <c r="R29" s="5" t="s">
        <v>36</v>
      </c>
      <c r="S29" s="5" t="s">
        <v>286</v>
      </c>
      <c r="T29" s="4" t="str">
        <f t="shared" si="1"/>
        <v>Mantener / evidenciar</v>
      </c>
      <c r="U29" s="4" t="str">
        <f t="shared" si="2"/>
        <v>Mantener evidencia y revisión periódica</v>
      </c>
      <c r="V29" s="4" t="str">
        <f t="shared" si="3"/>
        <v>Revisión periódica</v>
      </c>
      <c r="W29" s="11">
        <f t="shared" si="4"/>
        <v>0</v>
      </c>
      <c r="X29" s="4" t="str">
        <f t="shared" si="5"/>
        <v>Mantenimiento</v>
      </c>
    </row>
    <row r="30" spans="1:24" ht="38.25">
      <c r="A30" s="5">
        <v>29</v>
      </c>
      <c r="B30" s="5" t="s">
        <v>223</v>
      </c>
      <c r="C30" s="5" t="s">
        <v>287</v>
      </c>
      <c r="D30" s="5" t="s">
        <v>288</v>
      </c>
      <c r="E30" s="5" t="s">
        <v>289</v>
      </c>
      <c r="F30" s="5" t="s">
        <v>290</v>
      </c>
      <c r="G30" s="5" t="s">
        <v>291</v>
      </c>
      <c r="H30" s="5" t="s">
        <v>290</v>
      </c>
      <c r="I30" s="5" t="s">
        <v>292</v>
      </c>
      <c r="J30" s="5">
        <v>0</v>
      </c>
      <c r="K30" s="5" t="str">
        <f t="shared" si="0"/>
        <v>No cumple</v>
      </c>
      <c r="L30" s="5"/>
      <c r="M30" s="5"/>
      <c r="N30" s="5" t="s">
        <v>293</v>
      </c>
      <c r="O30" s="5" t="s">
        <v>33</v>
      </c>
      <c r="P30" s="5" t="s">
        <v>45</v>
      </c>
      <c r="Q30" s="5" t="s">
        <v>294</v>
      </c>
      <c r="R30" s="5" t="s">
        <v>36</v>
      </c>
      <c r="S30" s="5" t="s">
        <v>295</v>
      </c>
      <c r="T30" s="4" t="str">
        <f t="shared" si="1"/>
        <v>Implementar control</v>
      </c>
      <c r="U30" s="4" t="str">
        <f t="shared" si="2"/>
        <v>Diseñar, aprobar e implementar control requerido</v>
      </c>
      <c r="V30" s="4" t="str">
        <f t="shared" si="3"/>
        <v>0-30 días</v>
      </c>
      <c r="W30" s="11">
        <f t="shared" si="4"/>
        <v>3</v>
      </c>
      <c r="X30" s="4" t="str">
        <f t="shared" si="5"/>
        <v>Fase 2 - Riesgos y operación</v>
      </c>
    </row>
    <row r="31" spans="1:24" ht="38.25">
      <c r="A31" s="5">
        <v>30</v>
      </c>
      <c r="B31" s="5" t="s">
        <v>223</v>
      </c>
      <c r="C31" s="5" t="s">
        <v>296</v>
      </c>
      <c r="D31" s="5" t="s">
        <v>297</v>
      </c>
      <c r="E31" s="5" t="s">
        <v>298</v>
      </c>
      <c r="F31" s="5" t="s">
        <v>299</v>
      </c>
      <c r="G31" s="5" t="s">
        <v>291</v>
      </c>
      <c r="H31" s="5" t="s">
        <v>299</v>
      </c>
      <c r="I31" s="5" t="s">
        <v>300</v>
      </c>
      <c r="J31" s="5">
        <v>0</v>
      </c>
      <c r="K31" s="5" t="str">
        <f t="shared" si="0"/>
        <v>No cumple</v>
      </c>
      <c r="L31" s="5"/>
      <c r="M31" s="5"/>
      <c r="N31" s="5" t="s">
        <v>223</v>
      </c>
      <c r="O31" s="5" t="s">
        <v>65</v>
      </c>
      <c r="P31" s="5" t="s">
        <v>45</v>
      </c>
      <c r="Q31" s="5" t="s">
        <v>301</v>
      </c>
      <c r="R31" s="5" t="s">
        <v>36</v>
      </c>
      <c r="S31" s="5" t="s">
        <v>302</v>
      </c>
      <c r="T31" s="4" t="str">
        <f t="shared" si="1"/>
        <v>Implementar control</v>
      </c>
      <c r="U31" s="4" t="str">
        <f t="shared" si="2"/>
        <v>Diseñar, aprobar e implementar control requerido</v>
      </c>
      <c r="V31" s="4" t="str">
        <f t="shared" si="3"/>
        <v>31-60 días</v>
      </c>
      <c r="W31" s="11">
        <f t="shared" si="4"/>
        <v>2</v>
      </c>
      <c r="X31" s="4" t="str">
        <f t="shared" si="5"/>
        <v>Fase 2 - Riesgos y operación</v>
      </c>
    </row>
    <row r="32" spans="1:24" ht="38.25">
      <c r="A32" s="5">
        <v>31</v>
      </c>
      <c r="B32" s="5" t="s">
        <v>303</v>
      </c>
      <c r="C32" s="5" t="s">
        <v>304</v>
      </c>
      <c r="D32" s="5" t="s">
        <v>305</v>
      </c>
      <c r="E32" s="5" t="s">
        <v>306</v>
      </c>
      <c r="F32" s="5" t="s">
        <v>307</v>
      </c>
      <c r="G32" s="5" t="s">
        <v>29</v>
      </c>
      <c r="H32" s="5" t="s">
        <v>308</v>
      </c>
      <c r="I32" s="5" t="s">
        <v>309</v>
      </c>
      <c r="J32" s="5" t="s">
        <v>1199</v>
      </c>
      <c r="K32" s="5" t="str">
        <f t="shared" si="0"/>
        <v>Parcial</v>
      </c>
      <c r="L32" s="5"/>
      <c r="M32" s="5" t="s">
        <v>1218</v>
      </c>
      <c r="N32" s="5" t="s">
        <v>310</v>
      </c>
      <c r="O32" s="5" t="s">
        <v>33</v>
      </c>
      <c r="P32" s="5" t="s">
        <v>249</v>
      </c>
      <c r="Q32" s="5" t="s">
        <v>311</v>
      </c>
      <c r="R32" s="5" t="s">
        <v>36</v>
      </c>
      <c r="S32" s="5" t="s">
        <v>312</v>
      </c>
      <c r="T32" s="4" t="str">
        <f t="shared" si="1"/>
        <v>Cerrar brecha parcial</v>
      </c>
      <c r="U32" s="4" t="str">
        <f t="shared" si="2"/>
        <v>Completar documentación/control y validar efectividad</v>
      </c>
      <c r="V32" s="4" t="str">
        <f t="shared" si="3"/>
        <v>0-45 días</v>
      </c>
      <c r="W32" s="11">
        <f t="shared" si="4"/>
        <v>2</v>
      </c>
      <c r="X32" s="4" t="str">
        <f t="shared" si="5"/>
        <v>Fase 5 - Canales y datos</v>
      </c>
    </row>
    <row r="33" spans="1:24" ht="51">
      <c r="A33" s="5">
        <v>32</v>
      </c>
      <c r="B33" s="5" t="s">
        <v>303</v>
      </c>
      <c r="C33" s="5" t="s">
        <v>313</v>
      </c>
      <c r="D33" s="5" t="s">
        <v>314</v>
      </c>
      <c r="E33" s="5" t="s">
        <v>315</v>
      </c>
      <c r="F33" s="5" t="s">
        <v>316</v>
      </c>
      <c r="G33" s="5" t="s">
        <v>29</v>
      </c>
      <c r="H33" s="5" t="s">
        <v>228</v>
      </c>
      <c r="I33" s="5" t="s">
        <v>317</v>
      </c>
      <c r="J33" s="5" t="s">
        <v>1199</v>
      </c>
      <c r="K33" s="5" t="str">
        <f t="shared" si="0"/>
        <v>Parcial</v>
      </c>
      <c r="L33" s="5"/>
      <c r="M33" s="5"/>
      <c r="N33" s="5" t="s">
        <v>318</v>
      </c>
      <c r="O33" s="5" t="s">
        <v>33</v>
      </c>
      <c r="P33" s="5" t="s">
        <v>319</v>
      </c>
      <c r="Q33" s="5" t="s">
        <v>320</v>
      </c>
      <c r="R33" s="5" t="s">
        <v>36</v>
      </c>
      <c r="S33" s="5" t="s">
        <v>321</v>
      </c>
      <c r="T33" s="4" t="str">
        <f t="shared" si="1"/>
        <v>Cerrar brecha parcial</v>
      </c>
      <c r="U33" s="4" t="str">
        <f t="shared" si="2"/>
        <v>Completar documentación/control y validar efectividad</v>
      </c>
      <c r="V33" s="4" t="str">
        <f t="shared" si="3"/>
        <v>0-45 días</v>
      </c>
      <c r="W33" s="11">
        <f t="shared" si="4"/>
        <v>2</v>
      </c>
      <c r="X33" s="4" t="str">
        <f t="shared" si="5"/>
        <v>Fase 5 - Canales y datos</v>
      </c>
    </row>
    <row r="34" spans="1:24" ht="38.25">
      <c r="A34" s="5">
        <v>33</v>
      </c>
      <c r="B34" s="5" t="s">
        <v>303</v>
      </c>
      <c r="C34" s="5" t="s">
        <v>322</v>
      </c>
      <c r="D34" s="5" t="s">
        <v>323</v>
      </c>
      <c r="E34" s="5" t="s">
        <v>324</v>
      </c>
      <c r="F34" s="5" t="s">
        <v>325</v>
      </c>
      <c r="G34" s="5" t="s">
        <v>291</v>
      </c>
      <c r="H34" s="5" t="s">
        <v>325</v>
      </c>
      <c r="I34" s="5" t="s">
        <v>326</v>
      </c>
      <c r="J34" s="5" t="s">
        <v>1199</v>
      </c>
      <c r="K34" s="5" t="str">
        <f t="shared" ref="K34:K65" si="6">IF(TRIM(J34&amp;"")="","Por evaluar",IF(UPPER(TRIM(J34&amp;""))="N/A","No aplica",IF(OR(J34=1,J34="1"),"Cumple",IF(OR(J34=0.5,J34="0.5"),"Parcial",IF(OR(J34=0,J34="0"),"No cumple","Revisar valor")))))</f>
        <v>Parcial</v>
      </c>
      <c r="L34" s="5"/>
      <c r="M34" s="5"/>
      <c r="N34" s="5" t="s">
        <v>318</v>
      </c>
      <c r="O34" s="5" t="s">
        <v>33</v>
      </c>
      <c r="P34" s="5" t="s">
        <v>45</v>
      </c>
      <c r="Q34" s="5" t="s">
        <v>327</v>
      </c>
      <c r="R34" s="5" t="s">
        <v>36</v>
      </c>
      <c r="S34" s="5" t="s">
        <v>328</v>
      </c>
      <c r="T34" s="4" t="str">
        <f t="shared" ref="T34:T65" si="7">IF(K34="Cumple","Mantener / evidenciar",IF(K34="Parcial","Cerrar brecha parcial",IF(K34="No cumple","Implementar control",IF(K34="No aplica","Sin acción","Levantar evidencia"))))</f>
        <v>Cerrar brecha parcial</v>
      </c>
      <c r="U34" s="4" t="str">
        <f t="shared" ref="U34:U65" si="8">IF(K34="Cumple","Mantener evidencia y revisión periódica",IF(K34="No aplica","Documentar justificación de no aplicabilidad",IF(K34="Por evaluar","Levantar evidencia y confirmar aplicabilidad",IF(K34="Parcial","Completar documentación/control y validar efectividad",IF(K34="No cumple","Diseñar, aprobar e implementar control requerido","Corregir valor de cumplimiento")))))</f>
        <v>Completar documentación/control y validar efectividad</v>
      </c>
      <c r="V34" s="4" t="str">
        <f t="shared" ref="V34:V65" si="9">IF(K34="No cumple",IF(O34="Alta","0-30 días",IF(O34="Media","31-60 días","61-90 días")),IF(K34="Parcial",IF(O34="Alta","0-45 días",IF(O34="Media","31-75 días","61-120 días")),IF(K34="Por evaluar",IF(O34="Alta","0-15 días","0-30 días"),IF(K34="Cumple","Revisión periódica","No aplica"))))</f>
        <v>0-45 días</v>
      </c>
      <c r="W34" s="11">
        <f t="shared" ref="W34:W65" si="10">IF(K34="No cumple",IF(O34="Alta",3,IF(O34="Media",2,1)),IF(K34="Parcial",IF(O34="Alta",2,IF(O34="Media",1.5,1)),IF(K34="Por evaluar",IF(O34="Alta",1.5,IF(O34="Media",1,0.5)),0)))</f>
        <v>2</v>
      </c>
      <c r="X34" s="4" t="str">
        <f t="shared" ref="X34:X65" si="11">IF(K34="No aplica","No aplica",IF(K34="Cumple","Mantenimiento",IF(K34="Por evaluar","Fase 0 - Evidencia/aplicabilidad",IF(OR(B34="Gobernanza",B34="SGSI",B34="Contexto y alcance"),"Fase 1 - Gobierno y SGSI",IF(OR(B34="Riesgos",B34="Procesos",B34="Personas"),"Fase 2 - Riesgos y operación",IF(OR(B34="Terceros",B34="Continuidad"),"Fase 3 - Continuidad y terceros",IF(OR(B34="Tecnología",B34="Accesos",B34="Ciberseguridad",B34="Vulnerabilidades",B34="Incidentes",B34="Monitoreo"),"Fase 4 - Controles técnicos","Fase 5 - Canales y datos")))))))</f>
        <v>Fase 5 - Canales y datos</v>
      </c>
    </row>
    <row r="35" spans="1:24" ht="38.25">
      <c r="A35" s="5">
        <v>34</v>
      </c>
      <c r="B35" s="5" t="s">
        <v>303</v>
      </c>
      <c r="C35" s="5" t="s">
        <v>329</v>
      </c>
      <c r="D35" s="5" t="s">
        <v>330</v>
      </c>
      <c r="E35" s="5" t="s">
        <v>331</v>
      </c>
      <c r="F35" s="5" t="s">
        <v>332</v>
      </c>
      <c r="G35" s="5" t="s">
        <v>29</v>
      </c>
      <c r="H35" s="5" t="s">
        <v>332</v>
      </c>
      <c r="I35" s="5" t="s">
        <v>333</v>
      </c>
      <c r="J35" s="5">
        <v>0</v>
      </c>
      <c r="K35" s="5" t="str">
        <f t="shared" si="6"/>
        <v>No cumple</v>
      </c>
      <c r="L35" s="5"/>
      <c r="M35" s="5"/>
      <c r="N35" s="5" t="s">
        <v>334</v>
      </c>
      <c r="O35" s="5" t="s">
        <v>33</v>
      </c>
      <c r="P35" s="5" t="s">
        <v>138</v>
      </c>
      <c r="Q35" s="5" t="s">
        <v>335</v>
      </c>
      <c r="R35" s="5" t="s">
        <v>36</v>
      </c>
      <c r="S35" s="5" t="s">
        <v>336</v>
      </c>
      <c r="T35" s="4" t="str">
        <f t="shared" si="7"/>
        <v>Implementar control</v>
      </c>
      <c r="U35" s="4" t="str">
        <f t="shared" si="8"/>
        <v>Diseñar, aprobar e implementar control requerido</v>
      </c>
      <c r="V35" s="4" t="str">
        <f t="shared" si="9"/>
        <v>0-30 días</v>
      </c>
      <c r="W35" s="11">
        <f t="shared" si="10"/>
        <v>3</v>
      </c>
      <c r="X35" s="4" t="str">
        <f t="shared" si="11"/>
        <v>Fase 5 - Canales y datos</v>
      </c>
    </row>
    <row r="36" spans="1:24" ht="38.25">
      <c r="A36" s="5">
        <v>35</v>
      </c>
      <c r="B36" s="5" t="s">
        <v>303</v>
      </c>
      <c r="C36" s="5" t="s">
        <v>337</v>
      </c>
      <c r="D36" s="5" t="s">
        <v>338</v>
      </c>
      <c r="E36" s="5" t="s">
        <v>339</v>
      </c>
      <c r="F36" s="5" t="s">
        <v>325</v>
      </c>
      <c r="G36" s="5" t="s">
        <v>291</v>
      </c>
      <c r="H36" s="5" t="s">
        <v>325</v>
      </c>
      <c r="I36" s="5" t="s">
        <v>340</v>
      </c>
      <c r="J36" s="5">
        <v>0</v>
      </c>
      <c r="K36" s="5" t="str">
        <f t="shared" si="6"/>
        <v>No cumple</v>
      </c>
      <c r="L36" s="5"/>
      <c r="M36" s="5"/>
      <c r="N36" s="5" t="s">
        <v>341</v>
      </c>
      <c r="O36" s="5" t="s">
        <v>65</v>
      </c>
      <c r="P36" s="5" t="s">
        <v>342</v>
      </c>
      <c r="Q36" s="5" t="s">
        <v>343</v>
      </c>
      <c r="R36" s="5" t="s">
        <v>36</v>
      </c>
      <c r="S36" s="5" t="s">
        <v>344</v>
      </c>
      <c r="T36" s="4" t="str">
        <f t="shared" si="7"/>
        <v>Implementar control</v>
      </c>
      <c r="U36" s="4" t="str">
        <f t="shared" si="8"/>
        <v>Diseñar, aprobar e implementar control requerido</v>
      </c>
      <c r="V36" s="4" t="str">
        <f t="shared" si="9"/>
        <v>31-60 días</v>
      </c>
      <c r="W36" s="11">
        <f t="shared" si="10"/>
        <v>2</v>
      </c>
      <c r="X36" s="4" t="str">
        <f t="shared" si="11"/>
        <v>Fase 5 - Canales y datos</v>
      </c>
    </row>
    <row r="37" spans="1:24" ht="51">
      <c r="A37" s="5">
        <v>36</v>
      </c>
      <c r="B37" s="5" t="s">
        <v>303</v>
      </c>
      <c r="C37" s="5" t="s">
        <v>345</v>
      </c>
      <c r="D37" s="5" t="s">
        <v>346</v>
      </c>
      <c r="E37" s="5" t="s">
        <v>347</v>
      </c>
      <c r="F37" s="5" t="s">
        <v>348</v>
      </c>
      <c r="G37" s="5" t="s">
        <v>29</v>
      </c>
      <c r="H37" s="5" t="s">
        <v>348</v>
      </c>
      <c r="I37" s="5" t="s">
        <v>349</v>
      </c>
      <c r="J37" s="5" t="s">
        <v>1199</v>
      </c>
      <c r="K37" s="5" t="str">
        <f t="shared" si="6"/>
        <v>Parcial</v>
      </c>
      <c r="L37" s="5"/>
      <c r="M37" s="5"/>
      <c r="N37" s="5" t="s">
        <v>350</v>
      </c>
      <c r="O37" s="5" t="s">
        <v>33</v>
      </c>
      <c r="P37" s="5" t="s">
        <v>351</v>
      </c>
      <c r="Q37" s="5" t="s">
        <v>352</v>
      </c>
      <c r="R37" s="5" t="s">
        <v>36</v>
      </c>
      <c r="S37" s="5" t="s">
        <v>353</v>
      </c>
      <c r="T37" s="4" t="str">
        <f t="shared" si="7"/>
        <v>Cerrar brecha parcial</v>
      </c>
      <c r="U37" s="4" t="str">
        <f t="shared" si="8"/>
        <v>Completar documentación/control y validar efectividad</v>
      </c>
      <c r="V37" s="4" t="str">
        <f t="shared" si="9"/>
        <v>0-45 días</v>
      </c>
      <c r="W37" s="11">
        <f t="shared" si="10"/>
        <v>2</v>
      </c>
      <c r="X37" s="4" t="str">
        <f t="shared" si="11"/>
        <v>Fase 5 - Canales y datos</v>
      </c>
    </row>
    <row r="38" spans="1:24" ht="51">
      <c r="A38" s="5">
        <v>37</v>
      </c>
      <c r="B38" s="5" t="s">
        <v>354</v>
      </c>
      <c r="C38" s="5" t="s">
        <v>355</v>
      </c>
      <c r="D38" s="5" t="s">
        <v>356</v>
      </c>
      <c r="E38" s="5" t="s">
        <v>357</v>
      </c>
      <c r="F38" s="5" t="s">
        <v>358</v>
      </c>
      <c r="G38" s="5" t="s">
        <v>29</v>
      </c>
      <c r="H38" s="5" t="s">
        <v>358</v>
      </c>
      <c r="I38" s="5" t="s">
        <v>359</v>
      </c>
      <c r="J38" s="5">
        <v>0</v>
      </c>
      <c r="K38" s="5" t="str">
        <f t="shared" si="6"/>
        <v>No cumple</v>
      </c>
      <c r="L38" s="5"/>
      <c r="M38" s="5" t="s">
        <v>354</v>
      </c>
      <c r="N38" s="5" t="s">
        <v>360</v>
      </c>
      <c r="O38" s="5" t="s">
        <v>33</v>
      </c>
      <c r="P38" s="5" t="s">
        <v>45</v>
      </c>
      <c r="Q38" s="5" t="s">
        <v>361</v>
      </c>
      <c r="R38" s="5" t="s">
        <v>36</v>
      </c>
      <c r="S38" s="5" t="s">
        <v>362</v>
      </c>
      <c r="T38" s="4" t="str">
        <f t="shared" si="7"/>
        <v>Implementar control</v>
      </c>
      <c r="U38" s="4" t="str">
        <f t="shared" si="8"/>
        <v>Diseñar, aprobar e implementar control requerido</v>
      </c>
      <c r="V38" s="4" t="str">
        <f t="shared" si="9"/>
        <v>0-30 días</v>
      </c>
      <c r="W38" s="11">
        <f t="shared" si="10"/>
        <v>3</v>
      </c>
      <c r="X38" s="4" t="str">
        <f t="shared" si="11"/>
        <v>Fase 2 - Riesgos y operación</v>
      </c>
    </row>
    <row r="39" spans="1:24" ht="38.25">
      <c r="A39" s="5">
        <v>38</v>
      </c>
      <c r="B39" s="5" t="s">
        <v>354</v>
      </c>
      <c r="C39" s="5" t="s">
        <v>363</v>
      </c>
      <c r="D39" s="5" t="s">
        <v>364</v>
      </c>
      <c r="E39" s="5" t="s">
        <v>365</v>
      </c>
      <c r="F39" s="5" t="s">
        <v>366</v>
      </c>
      <c r="G39" s="5" t="s">
        <v>291</v>
      </c>
      <c r="H39" s="5" t="s">
        <v>366</v>
      </c>
      <c r="I39" s="5" t="s">
        <v>367</v>
      </c>
      <c r="J39" s="5">
        <v>0</v>
      </c>
      <c r="K39" s="5" t="str">
        <f t="shared" si="6"/>
        <v>No cumple</v>
      </c>
      <c r="L39" s="5"/>
      <c r="M39" s="5" t="s">
        <v>354</v>
      </c>
      <c r="N39" s="5" t="s">
        <v>368</v>
      </c>
      <c r="O39" s="5" t="s">
        <v>65</v>
      </c>
      <c r="P39" s="5" t="s">
        <v>45</v>
      </c>
      <c r="Q39" s="5" t="s">
        <v>369</v>
      </c>
      <c r="R39" s="5" t="s">
        <v>36</v>
      </c>
      <c r="S39" s="5" t="s">
        <v>370</v>
      </c>
      <c r="T39" s="4" t="str">
        <f t="shared" si="7"/>
        <v>Implementar control</v>
      </c>
      <c r="U39" s="4" t="str">
        <f t="shared" si="8"/>
        <v>Diseñar, aprobar e implementar control requerido</v>
      </c>
      <c r="V39" s="4" t="str">
        <f t="shared" si="9"/>
        <v>31-60 días</v>
      </c>
      <c r="W39" s="11">
        <f t="shared" si="10"/>
        <v>2</v>
      </c>
      <c r="X39" s="4" t="str">
        <f t="shared" si="11"/>
        <v>Fase 2 - Riesgos y operación</v>
      </c>
    </row>
    <row r="40" spans="1:24" ht="38.25">
      <c r="A40" s="5">
        <v>39</v>
      </c>
      <c r="B40" s="5" t="s">
        <v>371</v>
      </c>
      <c r="C40" s="5" t="s">
        <v>372</v>
      </c>
      <c r="D40" s="5" t="s">
        <v>373</v>
      </c>
      <c r="E40" s="5" t="s">
        <v>374</v>
      </c>
      <c r="F40" s="5" t="s">
        <v>375</v>
      </c>
      <c r="G40" s="5" t="s">
        <v>291</v>
      </c>
      <c r="H40" s="5" t="s">
        <v>375</v>
      </c>
      <c r="I40" s="5" t="s">
        <v>376</v>
      </c>
      <c r="J40" s="5">
        <v>1</v>
      </c>
      <c r="K40" s="5" t="str">
        <f t="shared" si="6"/>
        <v>Cumple</v>
      </c>
      <c r="L40" s="5"/>
      <c r="M40" s="5" t="s">
        <v>1219</v>
      </c>
      <c r="N40" s="5" t="s">
        <v>377</v>
      </c>
      <c r="O40" s="5" t="s">
        <v>33</v>
      </c>
      <c r="P40" s="5" t="s">
        <v>378</v>
      </c>
      <c r="Q40" s="5" t="s">
        <v>379</v>
      </c>
      <c r="R40" s="5" t="s">
        <v>36</v>
      </c>
      <c r="S40" s="5" t="s">
        <v>380</v>
      </c>
      <c r="T40" s="4" t="str">
        <f t="shared" si="7"/>
        <v>Mantener / evidenciar</v>
      </c>
      <c r="U40" s="4" t="str">
        <f t="shared" si="8"/>
        <v>Mantener evidencia y revisión periódica</v>
      </c>
      <c r="V40" s="4" t="str">
        <f t="shared" si="9"/>
        <v>Revisión periódica</v>
      </c>
      <c r="W40" s="11">
        <f t="shared" si="10"/>
        <v>0</v>
      </c>
      <c r="X40" s="4" t="str">
        <f t="shared" si="11"/>
        <v>Mantenimiento</v>
      </c>
    </row>
    <row r="41" spans="1:24" ht="38.25">
      <c r="A41" s="5">
        <v>40</v>
      </c>
      <c r="B41" s="5" t="s">
        <v>371</v>
      </c>
      <c r="C41" s="5" t="s">
        <v>381</v>
      </c>
      <c r="D41" s="5" t="s">
        <v>382</v>
      </c>
      <c r="E41" s="5" t="s">
        <v>383</v>
      </c>
      <c r="F41" s="5" t="s">
        <v>384</v>
      </c>
      <c r="G41" s="5" t="s">
        <v>29</v>
      </c>
      <c r="H41" s="5" t="s">
        <v>384</v>
      </c>
      <c r="I41" s="5" t="s">
        <v>385</v>
      </c>
      <c r="J41" s="5" t="s">
        <v>1199</v>
      </c>
      <c r="K41" s="5" t="str">
        <f t="shared" si="6"/>
        <v>Parcial</v>
      </c>
      <c r="L41" s="5"/>
      <c r="M41" s="5" t="s">
        <v>1220</v>
      </c>
      <c r="N41" s="5" t="s">
        <v>386</v>
      </c>
      <c r="O41" s="5" t="s">
        <v>33</v>
      </c>
      <c r="P41" s="5" t="s">
        <v>387</v>
      </c>
      <c r="Q41" s="5" t="s">
        <v>388</v>
      </c>
      <c r="R41" s="5" t="s">
        <v>36</v>
      </c>
      <c r="S41" s="5" t="s">
        <v>389</v>
      </c>
      <c r="T41" s="4" t="str">
        <f t="shared" si="7"/>
        <v>Cerrar brecha parcial</v>
      </c>
      <c r="U41" s="4" t="str">
        <f t="shared" si="8"/>
        <v>Completar documentación/control y validar efectividad</v>
      </c>
      <c r="V41" s="4" t="str">
        <f t="shared" si="9"/>
        <v>0-45 días</v>
      </c>
      <c r="W41" s="11">
        <f t="shared" si="10"/>
        <v>2</v>
      </c>
      <c r="X41" s="4" t="str">
        <f t="shared" si="11"/>
        <v>Fase 2 - Riesgos y operación</v>
      </c>
    </row>
    <row r="42" spans="1:24" ht="38.25">
      <c r="A42" s="5">
        <v>41</v>
      </c>
      <c r="B42" s="5" t="s">
        <v>371</v>
      </c>
      <c r="C42" s="5" t="s">
        <v>390</v>
      </c>
      <c r="D42" s="5" t="s">
        <v>391</v>
      </c>
      <c r="E42" s="5" t="s">
        <v>392</v>
      </c>
      <c r="F42" s="5" t="s">
        <v>375</v>
      </c>
      <c r="G42" s="5" t="s">
        <v>291</v>
      </c>
      <c r="H42" s="5" t="s">
        <v>375</v>
      </c>
      <c r="I42" s="5" t="s">
        <v>393</v>
      </c>
      <c r="J42" s="5">
        <v>1</v>
      </c>
      <c r="K42" s="5" t="str">
        <f t="shared" si="6"/>
        <v>Cumple</v>
      </c>
      <c r="L42" s="5"/>
      <c r="M42" s="5"/>
      <c r="N42" s="5" t="s">
        <v>394</v>
      </c>
      <c r="O42" s="5" t="s">
        <v>65</v>
      </c>
      <c r="P42" s="5" t="s">
        <v>138</v>
      </c>
      <c r="Q42" s="5" t="s">
        <v>395</v>
      </c>
      <c r="R42" s="5" t="s">
        <v>36</v>
      </c>
      <c r="S42" s="5" t="s">
        <v>396</v>
      </c>
      <c r="T42" s="4" t="str">
        <f t="shared" si="7"/>
        <v>Mantener / evidenciar</v>
      </c>
      <c r="U42" s="4" t="str">
        <f t="shared" si="8"/>
        <v>Mantener evidencia y revisión periódica</v>
      </c>
      <c r="V42" s="4" t="str">
        <f t="shared" si="9"/>
        <v>Revisión periódica</v>
      </c>
      <c r="W42" s="11">
        <f t="shared" si="10"/>
        <v>0</v>
      </c>
      <c r="X42" s="4" t="str">
        <f t="shared" si="11"/>
        <v>Mantenimiento</v>
      </c>
    </row>
    <row r="43" spans="1:24" ht="38.25">
      <c r="A43" s="5">
        <v>42</v>
      </c>
      <c r="B43" s="5" t="s">
        <v>371</v>
      </c>
      <c r="C43" s="5" t="s">
        <v>397</v>
      </c>
      <c r="D43" s="5" t="s">
        <v>398</v>
      </c>
      <c r="E43" s="5" t="s">
        <v>399</v>
      </c>
      <c r="F43" s="5" t="s">
        <v>348</v>
      </c>
      <c r="G43" s="5" t="s">
        <v>29</v>
      </c>
      <c r="H43" s="5" t="s">
        <v>348</v>
      </c>
      <c r="I43" s="5" t="s">
        <v>400</v>
      </c>
      <c r="J43" s="5">
        <v>0</v>
      </c>
      <c r="K43" s="5" t="str">
        <f t="shared" si="6"/>
        <v>No cumple</v>
      </c>
      <c r="L43" s="5"/>
      <c r="M43" s="5"/>
      <c r="N43" s="5" t="s">
        <v>401</v>
      </c>
      <c r="O43" s="5" t="s">
        <v>65</v>
      </c>
      <c r="P43" s="5" t="s">
        <v>268</v>
      </c>
      <c r="Q43" s="5" t="s">
        <v>402</v>
      </c>
      <c r="R43" s="5" t="s">
        <v>36</v>
      </c>
      <c r="S43" s="5" t="s">
        <v>403</v>
      </c>
      <c r="T43" s="4" t="str">
        <f t="shared" si="7"/>
        <v>Implementar control</v>
      </c>
      <c r="U43" s="4" t="str">
        <f t="shared" si="8"/>
        <v>Diseñar, aprobar e implementar control requerido</v>
      </c>
      <c r="V43" s="4" t="str">
        <f t="shared" si="9"/>
        <v>31-60 días</v>
      </c>
      <c r="W43" s="11">
        <f t="shared" si="10"/>
        <v>2</v>
      </c>
      <c r="X43" s="4" t="str">
        <f t="shared" si="11"/>
        <v>Fase 2 - Riesgos y operación</v>
      </c>
    </row>
    <row r="44" spans="1:24" ht="38.25">
      <c r="A44" s="5">
        <v>43</v>
      </c>
      <c r="B44" s="5" t="s">
        <v>404</v>
      </c>
      <c r="C44" s="5" t="s">
        <v>405</v>
      </c>
      <c r="D44" s="5" t="s">
        <v>406</v>
      </c>
      <c r="E44" s="5" t="s">
        <v>407</v>
      </c>
      <c r="F44" s="5" t="s">
        <v>171</v>
      </c>
      <c r="G44" s="5" t="s">
        <v>29</v>
      </c>
      <c r="H44" s="5" t="s">
        <v>171</v>
      </c>
      <c r="I44" s="5" t="s">
        <v>408</v>
      </c>
      <c r="J44" s="5">
        <v>0</v>
      </c>
      <c r="K44" s="5" t="str">
        <f t="shared" si="6"/>
        <v>No cumple</v>
      </c>
      <c r="L44" s="5"/>
      <c r="M44" s="5" t="s">
        <v>404</v>
      </c>
      <c r="N44" s="5" t="s">
        <v>409</v>
      </c>
      <c r="O44" s="5" t="s">
        <v>33</v>
      </c>
      <c r="P44" s="5" t="s">
        <v>410</v>
      </c>
      <c r="Q44" s="5" t="s">
        <v>411</v>
      </c>
      <c r="R44" s="5" t="s">
        <v>36</v>
      </c>
      <c r="S44" s="5" t="s">
        <v>412</v>
      </c>
      <c r="T44" s="4" t="str">
        <f t="shared" si="7"/>
        <v>Implementar control</v>
      </c>
      <c r="U44" s="4" t="str">
        <f t="shared" si="8"/>
        <v>Diseñar, aprobar e implementar control requerido</v>
      </c>
      <c r="V44" s="4" t="str">
        <f t="shared" si="9"/>
        <v>0-30 días</v>
      </c>
      <c r="W44" s="11">
        <f t="shared" si="10"/>
        <v>3</v>
      </c>
      <c r="X44" s="4" t="str">
        <f t="shared" si="11"/>
        <v>Fase 4 - Controles técnicos</v>
      </c>
    </row>
    <row r="45" spans="1:24" ht="38.25">
      <c r="A45" s="5">
        <v>44</v>
      </c>
      <c r="B45" s="5" t="s">
        <v>404</v>
      </c>
      <c r="C45" s="5" t="s">
        <v>413</v>
      </c>
      <c r="D45" s="5" t="s">
        <v>414</v>
      </c>
      <c r="E45" s="5" t="s">
        <v>415</v>
      </c>
      <c r="F45" s="5" t="s">
        <v>325</v>
      </c>
      <c r="G45" s="5" t="s">
        <v>291</v>
      </c>
      <c r="H45" s="5" t="s">
        <v>325</v>
      </c>
      <c r="I45" s="5" t="s">
        <v>416</v>
      </c>
      <c r="J45" s="5">
        <v>0</v>
      </c>
      <c r="K45" s="5" t="str">
        <f t="shared" si="6"/>
        <v>No cumple</v>
      </c>
      <c r="L45" s="5"/>
      <c r="M45" s="5" t="s">
        <v>404</v>
      </c>
      <c r="N45" s="5" t="s">
        <v>417</v>
      </c>
      <c r="O45" s="5" t="s">
        <v>33</v>
      </c>
      <c r="P45" s="5" t="s">
        <v>418</v>
      </c>
      <c r="Q45" s="5" t="s">
        <v>419</v>
      </c>
      <c r="R45" s="5" t="s">
        <v>36</v>
      </c>
      <c r="S45" s="5" t="s">
        <v>420</v>
      </c>
      <c r="T45" s="4" t="str">
        <f t="shared" si="7"/>
        <v>Implementar control</v>
      </c>
      <c r="U45" s="4" t="str">
        <f t="shared" si="8"/>
        <v>Diseñar, aprobar e implementar control requerido</v>
      </c>
      <c r="V45" s="4" t="str">
        <f t="shared" si="9"/>
        <v>0-30 días</v>
      </c>
      <c r="W45" s="11">
        <f t="shared" si="10"/>
        <v>3</v>
      </c>
      <c r="X45" s="4" t="str">
        <f t="shared" si="11"/>
        <v>Fase 4 - Controles técnicos</v>
      </c>
    </row>
    <row r="46" spans="1:24" ht="38.25">
      <c r="A46" s="5">
        <v>45</v>
      </c>
      <c r="B46" s="5" t="s">
        <v>404</v>
      </c>
      <c r="C46" s="5" t="s">
        <v>421</v>
      </c>
      <c r="D46" s="5" t="s">
        <v>422</v>
      </c>
      <c r="E46" s="5" t="s">
        <v>423</v>
      </c>
      <c r="F46" s="5" t="s">
        <v>171</v>
      </c>
      <c r="G46" s="5" t="s">
        <v>29</v>
      </c>
      <c r="H46" s="5" t="s">
        <v>171</v>
      </c>
      <c r="I46" s="5" t="s">
        <v>424</v>
      </c>
      <c r="J46" s="5" t="s">
        <v>1199</v>
      </c>
      <c r="K46" s="5" t="str">
        <f t="shared" si="6"/>
        <v>Parcial</v>
      </c>
      <c r="L46" s="5"/>
      <c r="M46" s="5" t="s">
        <v>404</v>
      </c>
      <c r="N46" s="5" t="s">
        <v>417</v>
      </c>
      <c r="O46" s="5" t="s">
        <v>33</v>
      </c>
      <c r="P46" s="5" t="s">
        <v>418</v>
      </c>
      <c r="Q46" s="5" t="s">
        <v>425</v>
      </c>
      <c r="R46" s="5" t="s">
        <v>36</v>
      </c>
      <c r="S46" s="5" t="s">
        <v>426</v>
      </c>
      <c r="T46" s="4" t="str">
        <f t="shared" si="7"/>
        <v>Cerrar brecha parcial</v>
      </c>
      <c r="U46" s="4" t="str">
        <f t="shared" si="8"/>
        <v>Completar documentación/control y validar efectividad</v>
      </c>
      <c r="V46" s="4" t="str">
        <f t="shared" si="9"/>
        <v>0-45 días</v>
      </c>
      <c r="W46" s="11">
        <f t="shared" si="10"/>
        <v>2</v>
      </c>
      <c r="X46" s="4" t="str">
        <f t="shared" si="11"/>
        <v>Fase 4 - Controles técnicos</v>
      </c>
    </row>
    <row r="47" spans="1:24" ht="25.5">
      <c r="A47" s="5">
        <v>46</v>
      </c>
      <c r="B47" s="5" t="s">
        <v>404</v>
      </c>
      <c r="C47" s="5" t="s">
        <v>427</v>
      </c>
      <c r="D47" s="5" t="s">
        <v>428</v>
      </c>
      <c r="E47" s="5" t="s">
        <v>429</v>
      </c>
      <c r="F47" s="5" t="s">
        <v>325</v>
      </c>
      <c r="G47" s="5" t="s">
        <v>291</v>
      </c>
      <c r="H47" s="5" t="s">
        <v>325</v>
      </c>
      <c r="I47" s="5" t="s">
        <v>430</v>
      </c>
      <c r="J47" s="5" t="s">
        <v>1199</v>
      </c>
      <c r="K47" s="5" t="str">
        <f t="shared" si="6"/>
        <v>Parcial</v>
      </c>
      <c r="L47" s="5"/>
      <c r="M47" s="5" t="s">
        <v>404</v>
      </c>
      <c r="N47" s="5" t="s">
        <v>431</v>
      </c>
      <c r="O47" s="5" t="s">
        <v>33</v>
      </c>
      <c r="P47" s="5" t="s">
        <v>138</v>
      </c>
      <c r="Q47" s="5" t="s">
        <v>432</v>
      </c>
      <c r="R47" s="5" t="s">
        <v>36</v>
      </c>
      <c r="S47" s="5" t="s">
        <v>433</v>
      </c>
      <c r="T47" s="4" t="str">
        <f t="shared" si="7"/>
        <v>Cerrar brecha parcial</v>
      </c>
      <c r="U47" s="4" t="str">
        <f t="shared" si="8"/>
        <v>Completar documentación/control y validar efectividad</v>
      </c>
      <c r="V47" s="4" t="str">
        <f t="shared" si="9"/>
        <v>0-45 días</v>
      </c>
      <c r="W47" s="11">
        <f t="shared" si="10"/>
        <v>2</v>
      </c>
      <c r="X47" s="4" t="str">
        <f t="shared" si="11"/>
        <v>Fase 4 - Controles técnicos</v>
      </c>
    </row>
    <row r="48" spans="1:24" ht="38.25">
      <c r="A48" s="5">
        <v>47</v>
      </c>
      <c r="B48" s="5" t="s">
        <v>434</v>
      </c>
      <c r="C48" s="5" t="s">
        <v>435</v>
      </c>
      <c r="D48" s="5" t="s">
        <v>436</v>
      </c>
      <c r="E48" s="5" t="s">
        <v>437</v>
      </c>
      <c r="F48" s="5" t="s">
        <v>438</v>
      </c>
      <c r="G48" s="5" t="s">
        <v>291</v>
      </c>
      <c r="H48" s="5" t="s">
        <v>439</v>
      </c>
      <c r="I48" s="5" t="s">
        <v>440</v>
      </c>
      <c r="J48" s="5" t="s">
        <v>1199</v>
      </c>
      <c r="K48" s="5" t="str">
        <f t="shared" si="6"/>
        <v>Parcial</v>
      </c>
      <c r="L48" s="5"/>
      <c r="M48" s="5" t="s">
        <v>434</v>
      </c>
      <c r="N48" s="5" t="s">
        <v>441</v>
      </c>
      <c r="O48" s="5" t="s">
        <v>33</v>
      </c>
      <c r="P48" s="5" t="s">
        <v>276</v>
      </c>
      <c r="Q48" s="5" t="s">
        <v>442</v>
      </c>
      <c r="R48" s="5" t="s">
        <v>36</v>
      </c>
      <c r="S48" s="5" t="s">
        <v>443</v>
      </c>
      <c r="T48" s="4" t="str">
        <f t="shared" si="7"/>
        <v>Cerrar brecha parcial</v>
      </c>
      <c r="U48" s="4" t="str">
        <f t="shared" si="8"/>
        <v>Completar documentación/control y validar efectividad</v>
      </c>
      <c r="V48" s="4" t="str">
        <f t="shared" si="9"/>
        <v>0-45 días</v>
      </c>
      <c r="W48" s="11">
        <f t="shared" si="10"/>
        <v>2</v>
      </c>
      <c r="X48" s="4" t="str">
        <f t="shared" si="11"/>
        <v>Fase 4 - Controles técnicos</v>
      </c>
    </row>
    <row r="49" spans="1:24" ht="25.5">
      <c r="A49" s="5">
        <v>48</v>
      </c>
      <c r="B49" s="5" t="s">
        <v>434</v>
      </c>
      <c r="C49" s="5" t="s">
        <v>444</v>
      </c>
      <c r="D49" s="5" t="s">
        <v>445</v>
      </c>
      <c r="E49" s="5" t="s">
        <v>446</v>
      </c>
      <c r="F49" s="5" t="s">
        <v>447</v>
      </c>
      <c r="G49" s="5" t="s">
        <v>291</v>
      </c>
      <c r="H49" s="5" t="s">
        <v>439</v>
      </c>
      <c r="I49" s="5" t="s">
        <v>448</v>
      </c>
      <c r="J49" s="5" t="s">
        <v>1199</v>
      </c>
      <c r="K49" s="5" t="str">
        <f t="shared" si="6"/>
        <v>Parcial</v>
      </c>
      <c r="L49" s="5"/>
      <c r="M49" s="5" t="s">
        <v>434</v>
      </c>
      <c r="N49" s="5" t="s">
        <v>449</v>
      </c>
      <c r="O49" s="5" t="s">
        <v>33</v>
      </c>
      <c r="P49" s="5" t="s">
        <v>45</v>
      </c>
      <c r="Q49" s="5" t="s">
        <v>450</v>
      </c>
      <c r="R49" s="5" t="s">
        <v>36</v>
      </c>
      <c r="S49" s="5" t="s">
        <v>451</v>
      </c>
      <c r="T49" s="4" t="str">
        <f t="shared" si="7"/>
        <v>Cerrar brecha parcial</v>
      </c>
      <c r="U49" s="4" t="str">
        <f t="shared" si="8"/>
        <v>Completar documentación/control y validar efectividad</v>
      </c>
      <c r="V49" s="4" t="str">
        <f t="shared" si="9"/>
        <v>0-45 días</v>
      </c>
      <c r="W49" s="11">
        <f t="shared" si="10"/>
        <v>2</v>
      </c>
      <c r="X49" s="4" t="str">
        <f t="shared" si="11"/>
        <v>Fase 4 - Controles técnicos</v>
      </c>
    </row>
    <row r="50" spans="1:24" ht="38.25">
      <c r="A50" s="5">
        <v>49</v>
      </c>
      <c r="B50" s="5" t="s">
        <v>434</v>
      </c>
      <c r="C50" s="5" t="s">
        <v>452</v>
      </c>
      <c r="D50" s="5" t="s">
        <v>453</v>
      </c>
      <c r="E50" s="5" t="s">
        <v>454</v>
      </c>
      <c r="F50" s="5" t="s">
        <v>447</v>
      </c>
      <c r="G50" s="5" t="s">
        <v>291</v>
      </c>
      <c r="H50" s="5" t="s">
        <v>439</v>
      </c>
      <c r="I50" s="5" t="s">
        <v>455</v>
      </c>
      <c r="J50" s="5">
        <v>0</v>
      </c>
      <c r="K50" s="5" t="str">
        <f t="shared" si="6"/>
        <v>No cumple</v>
      </c>
      <c r="L50" s="5"/>
      <c r="M50" s="5" t="s">
        <v>434</v>
      </c>
      <c r="N50" s="5" t="s">
        <v>456</v>
      </c>
      <c r="O50" s="5" t="s">
        <v>65</v>
      </c>
      <c r="P50" s="5" t="s">
        <v>45</v>
      </c>
      <c r="Q50" s="5" t="s">
        <v>457</v>
      </c>
      <c r="R50" s="5" t="s">
        <v>36</v>
      </c>
      <c r="S50" s="5" t="s">
        <v>458</v>
      </c>
      <c r="T50" s="4" t="str">
        <f t="shared" si="7"/>
        <v>Implementar control</v>
      </c>
      <c r="U50" s="4" t="str">
        <f t="shared" si="8"/>
        <v>Diseñar, aprobar e implementar control requerido</v>
      </c>
      <c r="V50" s="4" t="str">
        <f t="shared" si="9"/>
        <v>31-60 días</v>
      </c>
      <c r="W50" s="11">
        <f t="shared" si="10"/>
        <v>2</v>
      </c>
      <c r="X50" s="4" t="str">
        <f t="shared" si="11"/>
        <v>Fase 4 - Controles técnicos</v>
      </c>
    </row>
    <row r="51" spans="1:24" ht="38.25">
      <c r="A51" s="5">
        <v>50</v>
      </c>
      <c r="B51" s="5" t="s">
        <v>434</v>
      </c>
      <c r="C51" s="5" t="s">
        <v>459</v>
      </c>
      <c r="D51" s="5" t="s">
        <v>460</v>
      </c>
      <c r="E51" s="5" t="s">
        <v>461</v>
      </c>
      <c r="F51" s="5" t="s">
        <v>462</v>
      </c>
      <c r="G51" s="5" t="s">
        <v>291</v>
      </c>
      <c r="H51" s="5" t="s">
        <v>439</v>
      </c>
      <c r="I51" s="5" t="s">
        <v>463</v>
      </c>
      <c r="J51" s="5">
        <v>0</v>
      </c>
      <c r="K51" s="5" t="str">
        <f t="shared" si="6"/>
        <v>No cumple</v>
      </c>
      <c r="L51" s="5"/>
      <c r="M51" s="5" t="s">
        <v>434</v>
      </c>
      <c r="N51" s="5" t="s">
        <v>464</v>
      </c>
      <c r="O51" s="5" t="s">
        <v>33</v>
      </c>
      <c r="P51" s="5" t="s">
        <v>138</v>
      </c>
      <c r="Q51" s="5" t="s">
        <v>465</v>
      </c>
      <c r="R51" s="5" t="s">
        <v>36</v>
      </c>
      <c r="S51" s="5" t="s">
        <v>466</v>
      </c>
      <c r="T51" s="4" t="str">
        <f t="shared" si="7"/>
        <v>Implementar control</v>
      </c>
      <c r="U51" s="4" t="str">
        <f t="shared" si="8"/>
        <v>Diseñar, aprobar e implementar control requerido</v>
      </c>
      <c r="V51" s="4" t="str">
        <f t="shared" si="9"/>
        <v>0-30 días</v>
      </c>
      <c r="W51" s="11">
        <f t="shared" si="10"/>
        <v>3</v>
      </c>
      <c r="X51" s="4" t="str">
        <f t="shared" si="11"/>
        <v>Fase 4 - Controles técnicos</v>
      </c>
    </row>
    <row r="52" spans="1:24" ht="38.25">
      <c r="A52" s="5">
        <v>51</v>
      </c>
      <c r="B52" s="5" t="s">
        <v>434</v>
      </c>
      <c r="C52" s="5" t="s">
        <v>467</v>
      </c>
      <c r="D52" s="5" t="s">
        <v>468</v>
      </c>
      <c r="E52" s="5" t="s">
        <v>469</v>
      </c>
      <c r="F52" s="5" t="s">
        <v>470</v>
      </c>
      <c r="G52" s="5" t="s">
        <v>291</v>
      </c>
      <c r="H52" s="5" t="s">
        <v>471</v>
      </c>
      <c r="I52" s="5" t="s">
        <v>472</v>
      </c>
      <c r="J52" s="5">
        <v>0</v>
      </c>
      <c r="K52" s="5" t="str">
        <f t="shared" si="6"/>
        <v>No cumple</v>
      </c>
      <c r="L52" s="5"/>
      <c r="M52" s="5" t="s">
        <v>434</v>
      </c>
      <c r="N52" s="5" t="s">
        <v>473</v>
      </c>
      <c r="O52" s="5" t="s">
        <v>33</v>
      </c>
      <c r="P52" s="5" t="s">
        <v>138</v>
      </c>
      <c r="Q52" s="5" t="s">
        <v>474</v>
      </c>
      <c r="R52" s="5" t="s">
        <v>36</v>
      </c>
      <c r="S52" s="5" t="s">
        <v>475</v>
      </c>
      <c r="T52" s="4" t="str">
        <f t="shared" si="7"/>
        <v>Implementar control</v>
      </c>
      <c r="U52" s="4" t="str">
        <f t="shared" si="8"/>
        <v>Diseñar, aprobar e implementar control requerido</v>
      </c>
      <c r="V52" s="4" t="str">
        <f t="shared" si="9"/>
        <v>0-30 días</v>
      </c>
      <c r="W52" s="11">
        <f t="shared" si="10"/>
        <v>3</v>
      </c>
      <c r="X52" s="4" t="str">
        <f t="shared" si="11"/>
        <v>Fase 4 - Controles técnicos</v>
      </c>
    </row>
    <row r="53" spans="1:24" ht="38.25">
      <c r="A53" s="5">
        <v>52</v>
      </c>
      <c r="B53" s="5" t="s">
        <v>434</v>
      </c>
      <c r="C53" s="5" t="s">
        <v>476</v>
      </c>
      <c r="D53" s="5" t="s">
        <v>477</v>
      </c>
      <c r="E53" s="5" t="s">
        <v>478</v>
      </c>
      <c r="F53" s="5" t="s">
        <v>479</v>
      </c>
      <c r="G53" s="5" t="s">
        <v>29</v>
      </c>
      <c r="H53" s="5" t="s">
        <v>348</v>
      </c>
      <c r="I53" s="5" t="s">
        <v>480</v>
      </c>
      <c r="J53" s="5">
        <v>0</v>
      </c>
      <c r="K53" s="5" t="str">
        <f t="shared" si="6"/>
        <v>No cumple</v>
      </c>
      <c r="L53" s="5"/>
      <c r="M53" s="5" t="s">
        <v>434</v>
      </c>
      <c r="N53" s="5" t="s">
        <v>481</v>
      </c>
      <c r="O53" s="5" t="s">
        <v>33</v>
      </c>
      <c r="P53" s="5" t="s">
        <v>482</v>
      </c>
      <c r="Q53" s="5" t="s">
        <v>483</v>
      </c>
      <c r="R53" s="5" t="s">
        <v>36</v>
      </c>
      <c r="S53" s="5" t="s">
        <v>484</v>
      </c>
      <c r="T53" s="4" t="str">
        <f t="shared" si="7"/>
        <v>Implementar control</v>
      </c>
      <c r="U53" s="4" t="str">
        <f t="shared" si="8"/>
        <v>Diseñar, aprobar e implementar control requerido</v>
      </c>
      <c r="V53" s="4" t="str">
        <f t="shared" si="9"/>
        <v>0-30 días</v>
      </c>
      <c r="W53" s="11">
        <f t="shared" si="10"/>
        <v>3</v>
      </c>
      <c r="X53" s="4" t="str">
        <f t="shared" si="11"/>
        <v>Fase 4 - Controles técnicos</v>
      </c>
    </row>
    <row r="54" spans="1:24" ht="38.25">
      <c r="A54" s="5">
        <v>53</v>
      </c>
      <c r="B54" s="5" t="s">
        <v>434</v>
      </c>
      <c r="C54" s="5" t="s">
        <v>485</v>
      </c>
      <c r="D54" s="5" t="s">
        <v>486</v>
      </c>
      <c r="E54" s="5" t="s">
        <v>487</v>
      </c>
      <c r="F54" s="5" t="s">
        <v>488</v>
      </c>
      <c r="G54" s="5" t="s">
        <v>29</v>
      </c>
      <c r="H54" s="5" t="s">
        <v>489</v>
      </c>
      <c r="I54" s="5" t="s">
        <v>490</v>
      </c>
      <c r="J54" s="5">
        <v>0</v>
      </c>
      <c r="K54" s="5" t="str">
        <f t="shared" si="6"/>
        <v>No cumple</v>
      </c>
      <c r="L54" s="5"/>
      <c r="M54" s="5" t="s">
        <v>434</v>
      </c>
      <c r="N54" s="5" t="s">
        <v>491</v>
      </c>
      <c r="O54" s="5" t="s">
        <v>33</v>
      </c>
      <c r="P54" s="5" t="s">
        <v>492</v>
      </c>
      <c r="Q54" s="5" t="s">
        <v>493</v>
      </c>
      <c r="R54" s="5" t="s">
        <v>36</v>
      </c>
      <c r="S54" s="5" t="s">
        <v>494</v>
      </c>
      <c r="T54" s="4" t="str">
        <f t="shared" si="7"/>
        <v>Implementar control</v>
      </c>
      <c r="U54" s="4" t="str">
        <f t="shared" si="8"/>
        <v>Diseñar, aprobar e implementar control requerido</v>
      </c>
      <c r="V54" s="4" t="str">
        <f t="shared" si="9"/>
        <v>0-30 días</v>
      </c>
      <c r="W54" s="11">
        <f t="shared" si="10"/>
        <v>3</v>
      </c>
      <c r="X54" s="4" t="str">
        <f t="shared" si="11"/>
        <v>Fase 4 - Controles técnicos</v>
      </c>
    </row>
    <row r="55" spans="1:24" ht="25.5">
      <c r="A55" s="5">
        <v>54</v>
      </c>
      <c r="B55" s="5" t="s">
        <v>434</v>
      </c>
      <c r="C55" s="5" t="s">
        <v>495</v>
      </c>
      <c r="D55" s="5" t="s">
        <v>496</v>
      </c>
      <c r="E55" s="5" t="s">
        <v>497</v>
      </c>
      <c r="F55" s="5" t="s">
        <v>498</v>
      </c>
      <c r="G55" s="5" t="s">
        <v>291</v>
      </c>
      <c r="H55" s="5" t="s">
        <v>439</v>
      </c>
      <c r="I55" s="5" t="s">
        <v>499</v>
      </c>
      <c r="J55" s="5" t="s">
        <v>1199</v>
      </c>
      <c r="K55" s="5" t="str">
        <f t="shared" si="6"/>
        <v>Parcial</v>
      </c>
      <c r="L55" s="5"/>
      <c r="M55" s="5" t="s">
        <v>434</v>
      </c>
      <c r="N55" s="5" t="s">
        <v>500</v>
      </c>
      <c r="O55" s="5" t="s">
        <v>33</v>
      </c>
      <c r="P55" s="5" t="s">
        <v>138</v>
      </c>
      <c r="Q55" s="5" t="s">
        <v>501</v>
      </c>
      <c r="R55" s="5" t="s">
        <v>36</v>
      </c>
      <c r="S55" s="5" t="s">
        <v>502</v>
      </c>
      <c r="T55" s="4" t="str">
        <f t="shared" si="7"/>
        <v>Cerrar brecha parcial</v>
      </c>
      <c r="U55" s="4" t="str">
        <f t="shared" si="8"/>
        <v>Completar documentación/control y validar efectividad</v>
      </c>
      <c r="V55" s="4" t="str">
        <f t="shared" si="9"/>
        <v>0-45 días</v>
      </c>
      <c r="W55" s="11">
        <f t="shared" si="10"/>
        <v>2</v>
      </c>
      <c r="X55" s="4" t="str">
        <f t="shared" si="11"/>
        <v>Fase 4 - Controles técnicos</v>
      </c>
    </row>
    <row r="56" spans="1:24" ht="38.25">
      <c r="A56" s="5">
        <v>55</v>
      </c>
      <c r="B56" s="5" t="s">
        <v>434</v>
      </c>
      <c r="C56" s="5" t="s">
        <v>503</v>
      </c>
      <c r="D56" s="5" t="s">
        <v>504</v>
      </c>
      <c r="E56" s="5" t="s">
        <v>505</v>
      </c>
      <c r="F56" s="5" t="s">
        <v>498</v>
      </c>
      <c r="G56" s="5" t="s">
        <v>291</v>
      </c>
      <c r="H56" s="5" t="s">
        <v>439</v>
      </c>
      <c r="I56" s="5" t="s">
        <v>506</v>
      </c>
      <c r="J56" s="5" t="s">
        <v>1199</v>
      </c>
      <c r="K56" s="5" t="str">
        <f t="shared" si="6"/>
        <v>Parcial</v>
      </c>
      <c r="L56" s="5"/>
      <c r="M56" s="5" t="s">
        <v>434</v>
      </c>
      <c r="N56" s="5" t="s">
        <v>507</v>
      </c>
      <c r="O56" s="5" t="s">
        <v>33</v>
      </c>
      <c r="P56" s="5" t="s">
        <v>268</v>
      </c>
      <c r="Q56" s="5" t="s">
        <v>508</v>
      </c>
      <c r="R56" s="5" t="s">
        <v>36</v>
      </c>
      <c r="S56" s="5" t="s">
        <v>509</v>
      </c>
      <c r="T56" s="4" t="str">
        <f t="shared" si="7"/>
        <v>Cerrar brecha parcial</v>
      </c>
      <c r="U56" s="4" t="str">
        <f t="shared" si="8"/>
        <v>Completar documentación/control y validar efectividad</v>
      </c>
      <c r="V56" s="4" t="str">
        <f t="shared" si="9"/>
        <v>0-45 días</v>
      </c>
      <c r="W56" s="11">
        <f t="shared" si="10"/>
        <v>2</v>
      </c>
      <c r="X56" s="4" t="str">
        <f t="shared" si="11"/>
        <v>Fase 4 - Controles técnicos</v>
      </c>
    </row>
    <row r="57" spans="1:24" ht="38.25">
      <c r="A57" s="5">
        <v>56</v>
      </c>
      <c r="B57" s="5" t="s">
        <v>434</v>
      </c>
      <c r="C57" s="5" t="s">
        <v>510</v>
      </c>
      <c r="D57" s="5" t="s">
        <v>511</v>
      </c>
      <c r="E57" s="5" t="s">
        <v>512</v>
      </c>
      <c r="F57" s="5" t="s">
        <v>498</v>
      </c>
      <c r="G57" s="5" t="s">
        <v>291</v>
      </c>
      <c r="H57" s="5" t="s">
        <v>439</v>
      </c>
      <c r="I57" s="5" t="s">
        <v>513</v>
      </c>
      <c r="J57" s="5">
        <v>0</v>
      </c>
      <c r="K57" s="5" t="str">
        <f t="shared" si="6"/>
        <v>No cumple</v>
      </c>
      <c r="L57" s="5"/>
      <c r="M57" s="5" t="s">
        <v>434</v>
      </c>
      <c r="N57" s="5" t="s">
        <v>449</v>
      </c>
      <c r="O57" s="5" t="s">
        <v>65</v>
      </c>
      <c r="P57" s="5" t="s">
        <v>514</v>
      </c>
      <c r="Q57" s="5" t="s">
        <v>515</v>
      </c>
      <c r="R57" s="5" t="s">
        <v>36</v>
      </c>
      <c r="S57" s="5" t="s">
        <v>516</v>
      </c>
      <c r="T57" s="4" t="str">
        <f t="shared" si="7"/>
        <v>Implementar control</v>
      </c>
      <c r="U57" s="4" t="str">
        <f t="shared" si="8"/>
        <v>Diseñar, aprobar e implementar control requerido</v>
      </c>
      <c r="V57" s="4" t="str">
        <f t="shared" si="9"/>
        <v>31-60 días</v>
      </c>
      <c r="W57" s="11">
        <f t="shared" si="10"/>
        <v>2</v>
      </c>
      <c r="X57" s="4" t="str">
        <f t="shared" si="11"/>
        <v>Fase 4 - Controles técnicos</v>
      </c>
    </row>
    <row r="58" spans="1:24" ht="25.5">
      <c r="A58" s="5">
        <v>57</v>
      </c>
      <c r="B58" s="5" t="s">
        <v>434</v>
      </c>
      <c r="C58" s="5" t="s">
        <v>517</v>
      </c>
      <c r="D58" s="5" t="s">
        <v>518</v>
      </c>
      <c r="E58" s="5" t="s">
        <v>519</v>
      </c>
      <c r="F58" s="5" t="s">
        <v>348</v>
      </c>
      <c r="G58" s="5" t="s">
        <v>29</v>
      </c>
      <c r="H58" s="5" t="s">
        <v>348</v>
      </c>
      <c r="I58" s="5" t="s">
        <v>520</v>
      </c>
      <c r="J58" s="5" t="s">
        <v>1199</v>
      </c>
      <c r="K58" s="5" t="str">
        <f t="shared" si="6"/>
        <v>Parcial</v>
      </c>
      <c r="L58" s="5"/>
      <c r="M58" s="5" t="s">
        <v>434</v>
      </c>
      <c r="N58" s="5" t="s">
        <v>500</v>
      </c>
      <c r="O58" s="5" t="s">
        <v>33</v>
      </c>
      <c r="P58" s="5" t="s">
        <v>249</v>
      </c>
      <c r="Q58" s="5" t="s">
        <v>521</v>
      </c>
      <c r="R58" s="5" t="s">
        <v>36</v>
      </c>
      <c r="S58" s="5" t="s">
        <v>522</v>
      </c>
      <c r="T58" s="4" t="str">
        <f t="shared" si="7"/>
        <v>Cerrar brecha parcial</v>
      </c>
      <c r="U58" s="4" t="str">
        <f t="shared" si="8"/>
        <v>Completar documentación/control y validar efectividad</v>
      </c>
      <c r="V58" s="4" t="str">
        <f t="shared" si="9"/>
        <v>0-45 días</v>
      </c>
      <c r="W58" s="11">
        <f t="shared" si="10"/>
        <v>2</v>
      </c>
      <c r="X58" s="4" t="str">
        <f t="shared" si="11"/>
        <v>Fase 4 - Controles técnicos</v>
      </c>
    </row>
    <row r="59" spans="1:24" ht="38.25">
      <c r="A59" s="5">
        <v>58</v>
      </c>
      <c r="B59" s="5" t="s">
        <v>434</v>
      </c>
      <c r="C59" s="5" t="s">
        <v>523</v>
      </c>
      <c r="D59" s="5" t="s">
        <v>524</v>
      </c>
      <c r="E59" s="5" t="s">
        <v>525</v>
      </c>
      <c r="F59" s="5" t="s">
        <v>526</v>
      </c>
      <c r="G59" s="5" t="s">
        <v>29</v>
      </c>
      <c r="H59" s="5" t="s">
        <v>348</v>
      </c>
      <c r="I59" s="5" t="s">
        <v>527</v>
      </c>
      <c r="J59" s="5" t="s">
        <v>1199</v>
      </c>
      <c r="K59" s="5" t="str">
        <f t="shared" si="6"/>
        <v>Parcial</v>
      </c>
      <c r="L59" s="5"/>
      <c r="M59" s="5" t="s">
        <v>434</v>
      </c>
      <c r="N59" s="5" t="s">
        <v>528</v>
      </c>
      <c r="O59" s="5" t="s">
        <v>33</v>
      </c>
      <c r="P59" s="5" t="s">
        <v>529</v>
      </c>
      <c r="Q59" s="5" t="s">
        <v>530</v>
      </c>
      <c r="R59" s="5" t="s">
        <v>36</v>
      </c>
      <c r="S59" s="5" t="s">
        <v>531</v>
      </c>
      <c r="T59" s="4" t="str">
        <f t="shared" si="7"/>
        <v>Cerrar brecha parcial</v>
      </c>
      <c r="U59" s="4" t="str">
        <f t="shared" si="8"/>
        <v>Completar documentación/control y validar efectividad</v>
      </c>
      <c r="V59" s="4" t="str">
        <f t="shared" si="9"/>
        <v>0-45 días</v>
      </c>
      <c r="W59" s="11">
        <f t="shared" si="10"/>
        <v>2</v>
      </c>
      <c r="X59" s="4" t="str">
        <f t="shared" si="11"/>
        <v>Fase 4 - Controles técnicos</v>
      </c>
    </row>
    <row r="60" spans="1:24" ht="38.25">
      <c r="A60" s="5">
        <v>59</v>
      </c>
      <c r="B60" s="5" t="s">
        <v>434</v>
      </c>
      <c r="C60" s="5" t="s">
        <v>532</v>
      </c>
      <c r="D60" s="5" t="s">
        <v>533</v>
      </c>
      <c r="E60" s="5" t="s">
        <v>534</v>
      </c>
      <c r="F60" s="5" t="s">
        <v>535</v>
      </c>
      <c r="G60" s="5" t="s">
        <v>291</v>
      </c>
      <c r="H60" s="5" t="s">
        <v>439</v>
      </c>
      <c r="I60" s="5" t="s">
        <v>536</v>
      </c>
      <c r="J60" s="5">
        <v>0</v>
      </c>
      <c r="K60" s="5" t="str">
        <f t="shared" si="6"/>
        <v>No cumple</v>
      </c>
      <c r="L60" s="5"/>
      <c r="M60" s="5" t="s">
        <v>434</v>
      </c>
      <c r="N60" s="5" t="s">
        <v>537</v>
      </c>
      <c r="O60" s="5" t="s">
        <v>33</v>
      </c>
      <c r="P60" s="5" t="s">
        <v>538</v>
      </c>
      <c r="Q60" s="5" t="s">
        <v>539</v>
      </c>
      <c r="R60" s="5" t="s">
        <v>36</v>
      </c>
      <c r="S60" s="5" t="s">
        <v>540</v>
      </c>
      <c r="T60" s="4" t="str">
        <f t="shared" si="7"/>
        <v>Implementar control</v>
      </c>
      <c r="U60" s="4" t="str">
        <f t="shared" si="8"/>
        <v>Diseñar, aprobar e implementar control requerido</v>
      </c>
      <c r="V60" s="4" t="str">
        <f t="shared" si="9"/>
        <v>0-30 días</v>
      </c>
      <c r="W60" s="11">
        <f t="shared" si="10"/>
        <v>3</v>
      </c>
      <c r="X60" s="4" t="str">
        <f t="shared" si="11"/>
        <v>Fase 4 - Controles técnicos</v>
      </c>
    </row>
    <row r="61" spans="1:24" ht="38.25">
      <c r="A61" s="5">
        <v>60</v>
      </c>
      <c r="B61" s="5" t="s">
        <v>541</v>
      </c>
      <c r="C61" s="5" t="s">
        <v>542</v>
      </c>
      <c r="D61" s="5" t="s">
        <v>543</v>
      </c>
      <c r="E61" s="5" t="s">
        <v>544</v>
      </c>
      <c r="F61" s="5" t="s">
        <v>171</v>
      </c>
      <c r="G61" s="5" t="s">
        <v>29</v>
      </c>
      <c r="H61" s="5" t="s">
        <v>171</v>
      </c>
      <c r="I61" s="5" t="s">
        <v>545</v>
      </c>
      <c r="J61" s="5">
        <v>0</v>
      </c>
      <c r="K61" s="5" t="str">
        <f t="shared" si="6"/>
        <v>No cumple</v>
      </c>
      <c r="L61" s="5"/>
      <c r="M61" s="5" t="s">
        <v>541</v>
      </c>
      <c r="N61" s="5" t="s">
        <v>546</v>
      </c>
      <c r="O61" s="5" t="s">
        <v>33</v>
      </c>
      <c r="P61" s="5" t="s">
        <v>45</v>
      </c>
      <c r="Q61" s="5" t="s">
        <v>547</v>
      </c>
      <c r="R61" s="5" t="s">
        <v>36</v>
      </c>
      <c r="S61" s="5" t="s">
        <v>548</v>
      </c>
      <c r="T61" s="4" t="str">
        <f t="shared" si="7"/>
        <v>Implementar control</v>
      </c>
      <c r="U61" s="4" t="str">
        <f t="shared" si="8"/>
        <v>Diseñar, aprobar e implementar control requerido</v>
      </c>
      <c r="V61" s="4" t="str">
        <f t="shared" si="9"/>
        <v>0-30 días</v>
      </c>
      <c r="W61" s="11">
        <f t="shared" si="10"/>
        <v>3</v>
      </c>
      <c r="X61" s="4" t="str">
        <f t="shared" si="11"/>
        <v>Fase 4 - Controles técnicos</v>
      </c>
    </row>
    <row r="62" spans="1:24" ht="38.25">
      <c r="A62" s="5">
        <v>61</v>
      </c>
      <c r="B62" s="5" t="s">
        <v>541</v>
      </c>
      <c r="C62" s="5" t="s">
        <v>549</v>
      </c>
      <c r="D62" s="5" t="s">
        <v>550</v>
      </c>
      <c r="E62" s="5" t="s">
        <v>551</v>
      </c>
      <c r="F62" s="5" t="s">
        <v>552</v>
      </c>
      <c r="G62" s="5" t="s">
        <v>29</v>
      </c>
      <c r="H62" s="5" t="s">
        <v>553</v>
      </c>
      <c r="I62" s="5" t="s">
        <v>554</v>
      </c>
      <c r="J62" s="5" t="s">
        <v>1199</v>
      </c>
      <c r="K62" s="5" t="str">
        <f t="shared" si="6"/>
        <v>Parcial</v>
      </c>
      <c r="L62" s="5"/>
      <c r="M62" s="5" t="s">
        <v>541</v>
      </c>
      <c r="N62" s="5" t="s">
        <v>555</v>
      </c>
      <c r="O62" s="5" t="s">
        <v>33</v>
      </c>
      <c r="P62" s="5" t="s">
        <v>556</v>
      </c>
      <c r="Q62" s="5" t="s">
        <v>557</v>
      </c>
      <c r="R62" s="5" t="s">
        <v>36</v>
      </c>
      <c r="S62" s="5" t="s">
        <v>558</v>
      </c>
      <c r="T62" s="4" t="str">
        <f t="shared" si="7"/>
        <v>Cerrar brecha parcial</v>
      </c>
      <c r="U62" s="4" t="str">
        <f t="shared" si="8"/>
        <v>Completar documentación/control y validar efectividad</v>
      </c>
      <c r="V62" s="4" t="str">
        <f t="shared" si="9"/>
        <v>0-45 días</v>
      </c>
      <c r="W62" s="11">
        <f t="shared" si="10"/>
        <v>2</v>
      </c>
      <c r="X62" s="4" t="str">
        <f t="shared" si="11"/>
        <v>Fase 4 - Controles técnicos</v>
      </c>
    </row>
    <row r="63" spans="1:24" ht="38.25">
      <c r="A63" s="5">
        <v>62</v>
      </c>
      <c r="B63" s="5" t="s">
        <v>541</v>
      </c>
      <c r="C63" s="5" t="s">
        <v>559</v>
      </c>
      <c r="D63" s="5" t="s">
        <v>560</v>
      </c>
      <c r="E63" s="5" t="s">
        <v>561</v>
      </c>
      <c r="F63" s="5" t="s">
        <v>553</v>
      </c>
      <c r="G63" s="5" t="s">
        <v>29</v>
      </c>
      <c r="H63" s="5" t="s">
        <v>553</v>
      </c>
      <c r="I63" s="5" t="s">
        <v>562</v>
      </c>
      <c r="J63" s="5" t="s">
        <v>1199</v>
      </c>
      <c r="K63" s="5" t="str">
        <f t="shared" si="6"/>
        <v>Parcial</v>
      </c>
      <c r="L63" s="5"/>
      <c r="M63" s="5" t="s">
        <v>541</v>
      </c>
      <c r="N63" s="5" t="s">
        <v>409</v>
      </c>
      <c r="O63" s="5" t="s">
        <v>33</v>
      </c>
      <c r="P63" s="5" t="s">
        <v>563</v>
      </c>
      <c r="Q63" s="5" t="s">
        <v>564</v>
      </c>
      <c r="R63" s="5" t="s">
        <v>36</v>
      </c>
      <c r="S63" s="5" t="s">
        <v>565</v>
      </c>
      <c r="T63" s="4" t="str">
        <f t="shared" si="7"/>
        <v>Cerrar brecha parcial</v>
      </c>
      <c r="U63" s="4" t="str">
        <f t="shared" si="8"/>
        <v>Completar documentación/control y validar efectividad</v>
      </c>
      <c r="V63" s="4" t="str">
        <f t="shared" si="9"/>
        <v>0-45 días</v>
      </c>
      <c r="W63" s="11">
        <f t="shared" si="10"/>
        <v>2</v>
      </c>
      <c r="X63" s="4" t="str">
        <f t="shared" si="11"/>
        <v>Fase 4 - Controles técnicos</v>
      </c>
    </row>
    <row r="64" spans="1:24" ht="25.5">
      <c r="A64" s="5">
        <v>63</v>
      </c>
      <c r="B64" s="5" t="s">
        <v>541</v>
      </c>
      <c r="C64" s="5" t="s">
        <v>566</v>
      </c>
      <c r="D64" s="5" t="s">
        <v>567</v>
      </c>
      <c r="E64" s="5" t="s">
        <v>568</v>
      </c>
      <c r="F64" s="5" t="s">
        <v>325</v>
      </c>
      <c r="G64" s="5" t="s">
        <v>291</v>
      </c>
      <c r="H64" s="5" t="s">
        <v>325</v>
      </c>
      <c r="I64" s="5" t="s">
        <v>569</v>
      </c>
      <c r="J64" s="5">
        <v>0</v>
      </c>
      <c r="K64" s="5" t="str">
        <f t="shared" si="6"/>
        <v>No cumple</v>
      </c>
      <c r="L64" s="5"/>
      <c r="M64" s="5" t="s">
        <v>541</v>
      </c>
      <c r="N64" s="5" t="s">
        <v>491</v>
      </c>
      <c r="O64" s="5" t="s">
        <v>33</v>
      </c>
      <c r="P64" s="5" t="s">
        <v>570</v>
      </c>
      <c r="Q64" s="5" t="s">
        <v>571</v>
      </c>
      <c r="R64" s="5" t="s">
        <v>36</v>
      </c>
      <c r="S64" s="5" t="s">
        <v>572</v>
      </c>
      <c r="T64" s="4" t="str">
        <f t="shared" si="7"/>
        <v>Implementar control</v>
      </c>
      <c r="U64" s="4" t="str">
        <f t="shared" si="8"/>
        <v>Diseñar, aprobar e implementar control requerido</v>
      </c>
      <c r="V64" s="4" t="str">
        <f t="shared" si="9"/>
        <v>0-30 días</v>
      </c>
      <c r="W64" s="11">
        <f t="shared" si="10"/>
        <v>3</v>
      </c>
      <c r="X64" s="4" t="str">
        <f t="shared" si="11"/>
        <v>Fase 4 - Controles técnicos</v>
      </c>
    </row>
    <row r="65" spans="1:24" ht="38.25">
      <c r="A65" s="5">
        <v>64</v>
      </c>
      <c r="B65" s="5" t="s">
        <v>573</v>
      </c>
      <c r="C65" s="5" t="s">
        <v>574</v>
      </c>
      <c r="D65" s="5" t="s">
        <v>575</v>
      </c>
      <c r="E65" s="5" t="s">
        <v>576</v>
      </c>
      <c r="F65" s="5" t="s">
        <v>171</v>
      </c>
      <c r="G65" s="5" t="s">
        <v>29</v>
      </c>
      <c r="H65" s="5" t="s">
        <v>171</v>
      </c>
      <c r="I65" s="5" t="s">
        <v>577</v>
      </c>
      <c r="J65" s="5">
        <v>1</v>
      </c>
      <c r="K65" s="5" t="str">
        <f t="shared" si="6"/>
        <v>Cumple</v>
      </c>
      <c r="L65" s="5"/>
      <c r="M65" s="5" t="s">
        <v>573</v>
      </c>
      <c r="N65" s="5" t="s">
        <v>578</v>
      </c>
      <c r="O65" s="5" t="s">
        <v>33</v>
      </c>
      <c r="P65" s="5" t="s">
        <v>579</v>
      </c>
      <c r="Q65" s="5" t="s">
        <v>580</v>
      </c>
      <c r="R65" s="5" t="s">
        <v>36</v>
      </c>
      <c r="S65" s="5" t="s">
        <v>581</v>
      </c>
      <c r="T65" s="4" t="str">
        <f t="shared" si="7"/>
        <v>Mantener / evidenciar</v>
      </c>
      <c r="U65" s="4" t="str">
        <f t="shared" si="8"/>
        <v>Mantener evidencia y revisión periódica</v>
      </c>
      <c r="V65" s="4" t="str">
        <f t="shared" si="9"/>
        <v>Revisión periódica</v>
      </c>
      <c r="W65" s="11">
        <f t="shared" si="10"/>
        <v>0</v>
      </c>
      <c r="X65" s="4" t="str">
        <f t="shared" si="11"/>
        <v>Mantenimiento</v>
      </c>
    </row>
    <row r="66" spans="1:24" ht="51">
      <c r="A66" s="5">
        <v>65</v>
      </c>
      <c r="B66" s="5" t="s">
        <v>573</v>
      </c>
      <c r="C66" s="5" t="s">
        <v>582</v>
      </c>
      <c r="D66" s="5" t="s">
        <v>583</v>
      </c>
      <c r="E66" s="5" t="s">
        <v>584</v>
      </c>
      <c r="F66" s="5" t="s">
        <v>585</v>
      </c>
      <c r="G66" s="5" t="s">
        <v>29</v>
      </c>
      <c r="H66" s="5" t="s">
        <v>586</v>
      </c>
      <c r="I66" s="5" t="s">
        <v>587</v>
      </c>
      <c r="J66" s="5" t="s">
        <v>1199</v>
      </c>
      <c r="K66" s="5" t="str">
        <f t="shared" ref="K66:K97" si="12">IF(TRIM(J66&amp;"")="","Por evaluar",IF(UPPER(TRIM(J66&amp;""))="N/A","No aplica",IF(OR(J66=1,J66="1"),"Cumple",IF(OR(J66=0.5,J66="0.5"),"Parcial",IF(OR(J66=0,J66="0"),"No cumple","Revisar valor")))))</f>
        <v>Parcial</v>
      </c>
      <c r="L66" s="5"/>
      <c r="M66" s="5" t="s">
        <v>573</v>
      </c>
      <c r="N66" s="5" t="s">
        <v>431</v>
      </c>
      <c r="O66" s="5" t="s">
        <v>33</v>
      </c>
      <c r="P66" s="5" t="s">
        <v>138</v>
      </c>
      <c r="Q66" s="5" t="s">
        <v>588</v>
      </c>
      <c r="R66" s="5" t="s">
        <v>36</v>
      </c>
      <c r="S66" s="5" t="s">
        <v>589</v>
      </c>
      <c r="T66" s="4" t="str">
        <f t="shared" ref="T66:T97" si="13">IF(K66="Cumple","Mantener / evidenciar",IF(K66="Parcial","Cerrar brecha parcial",IF(K66="No cumple","Implementar control",IF(K66="No aplica","Sin acción","Levantar evidencia"))))</f>
        <v>Cerrar brecha parcial</v>
      </c>
      <c r="U66" s="4" t="str">
        <f t="shared" ref="U66:U97" si="14">IF(K66="Cumple","Mantener evidencia y revisión periódica",IF(K66="No aplica","Documentar justificación de no aplicabilidad",IF(K66="Por evaluar","Levantar evidencia y confirmar aplicabilidad",IF(K66="Parcial","Completar documentación/control y validar efectividad",IF(K66="No cumple","Diseñar, aprobar e implementar control requerido","Corregir valor de cumplimiento")))))</f>
        <v>Completar documentación/control y validar efectividad</v>
      </c>
      <c r="V66" s="4" t="str">
        <f t="shared" ref="V66:V97" si="15">IF(K66="No cumple",IF(O66="Alta","0-30 días",IF(O66="Media","31-60 días","61-90 días")),IF(K66="Parcial",IF(O66="Alta","0-45 días",IF(O66="Media","31-75 días","61-120 días")),IF(K66="Por evaluar",IF(O66="Alta","0-15 días","0-30 días"),IF(K66="Cumple","Revisión periódica","No aplica"))))</f>
        <v>0-45 días</v>
      </c>
      <c r="W66" s="11">
        <f t="shared" ref="W66:W97" si="16">IF(K66="No cumple",IF(O66="Alta",3,IF(O66="Media",2,1)),IF(K66="Parcial",IF(O66="Alta",2,IF(O66="Media",1.5,1)),IF(K66="Por evaluar",IF(O66="Alta",1.5,IF(O66="Media",1,0.5)),0)))</f>
        <v>2</v>
      </c>
      <c r="X66" s="4" t="str">
        <f t="shared" ref="X66:X97" si="17">IF(K66="No aplica","No aplica",IF(K66="Cumple","Mantenimiento",IF(K66="Por evaluar","Fase 0 - Evidencia/aplicabilidad",IF(OR(B66="Gobernanza",B66="SGSI",B66="Contexto y alcance"),"Fase 1 - Gobierno y SGSI",IF(OR(B66="Riesgos",B66="Procesos",B66="Personas"),"Fase 2 - Riesgos y operación",IF(OR(B66="Terceros",B66="Continuidad"),"Fase 3 - Continuidad y terceros",IF(OR(B66="Tecnología",B66="Accesos",B66="Ciberseguridad",B66="Vulnerabilidades",B66="Incidentes",B66="Monitoreo"),"Fase 4 - Controles técnicos","Fase 5 - Canales y datos")))))))</f>
        <v>Fase 4 - Controles técnicos</v>
      </c>
    </row>
    <row r="67" spans="1:24" ht="38.25">
      <c r="A67" s="5">
        <v>66</v>
      </c>
      <c r="B67" s="5" t="s">
        <v>573</v>
      </c>
      <c r="C67" s="5" t="s">
        <v>590</v>
      </c>
      <c r="D67" s="5" t="s">
        <v>591</v>
      </c>
      <c r="E67" s="5" t="s">
        <v>592</v>
      </c>
      <c r="F67" s="5" t="s">
        <v>593</v>
      </c>
      <c r="G67" s="5" t="s">
        <v>29</v>
      </c>
      <c r="H67" s="5" t="s">
        <v>594</v>
      </c>
      <c r="I67" s="5" t="s">
        <v>595</v>
      </c>
      <c r="J67" s="5">
        <v>1</v>
      </c>
      <c r="K67" s="5" t="str">
        <f t="shared" si="12"/>
        <v>Cumple</v>
      </c>
      <c r="L67" s="5"/>
      <c r="M67" s="5" t="s">
        <v>573</v>
      </c>
      <c r="N67" s="5" t="s">
        <v>500</v>
      </c>
      <c r="O67" s="5" t="s">
        <v>33</v>
      </c>
      <c r="P67" s="5" t="s">
        <v>138</v>
      </c>
      <c r="Q67" s="5" t="s">
        <v>596</v>
      </c>
      <c r="R67" s="5" t="s">
        <v>36</v>
      </c>
      <c r="S67" s="5" t="s">
        <v>597</v>
      </c>
      <c r="T67" s="4" t="str">
        <f t="shared" si="13"/>
        <v>Mantener / evidenciar</v>
      </c>
      <c r="U67" s="4" t="str">
        <f t="shared" si="14"/>
        <v>Mantener evidencia y revisión periódica</v>
      </c>
      <c r="V67" s="4" t="str">
        <f t="shared" si="15"/>
        <v>Revisión periódica</v>
      </c>
      <c r="W67" s="11">
        <f t="shared" si="16"/>
        <v>0</v>
      </c>
      <c r="X67" s="4" t="str">
        <f t="shared" si="17"/>
        <v>Mantenimiento</v>
      </c>
    </row>
    <row r="68" spans="1:24" ht="38.25">
      <c r="A68" s="5">
        <v>67</v>
      </c>
      <c r="B68" s="5" t="s">
        <v>598</v>
      </c>
      <c r="C68" s="5" t="s">
        <v>599</v>
      </c>
      <c r="D68" s="5" t="s">
        <v>600</v>
      </c>
      <c r="E68" s="5" t="s">
        <v>601</v>
      </c>
      <c r="F68" s="5" t="s">
        <v>602</v>
      </c>
      <c r="G68" s="5" t="s">
        <v>29</v>
      </c>
      <c r="H68" s="5" t="s">
        <v>62</v>
      </c>
      <c r="I68" s="5" t="s">
        <v>603</v>
      </c>
      <c r="J68" s="5" t="s">
        <v>1199</v>
      </c>
      <c r="K68" s="5" t="str">
        <f t="shared" si="12"/>
        <v>Parcial</v>
      </c>
      <c r="L68" s="5"/>
      <c r="M68" s="5" t="s">
        <v>598</v>
      </c>
      <c r="N68" s="5" t="s">
        <v>431</v>
      </c>
      <c r="O68" s="5" t="s">
        <v>33</v>
      </c>
      <c r="P68" s="5" t="s">
        <v>138</v>
      </c>
      <c r="Q68" s="5" t="s">
        <v>604</v>
      </c>
      <c r="R68" s="5" t="s">
        <v>36</v>
      </c>
      <c r="S68" s="5" t="s">
        <v>605</v>
      </c>
      <c r="T68" s="4" t="str">
        <f t="shared" si="13"/>
        <v>Cerrar brecha parcial</v>
      </c>
      <c r="U68" s="4" t="str">
        <f t="shared" si="14"/>
        <v>Completar documentación/control y validar efectividad</v>
      </c>
      <c r="V68" s="4" t="str">
        <f t="shared" si="15"/>
        <v>0-45 días</v>
      </c>
      <c r="W68" s="11">
        <f t="shared" si="16"/>
        <v>2</v>
      </c>
      <c r="X68" s="4" t="str">
        <f t="shared" si="17"/>
        <v>Fase 4 - Controles técnicos</v>
      </c>
    </row>
    <row r="69" spans="1:24" ht="25.5">
      <c r="A69" s="5">
        <v>68</v>
      </c>
      <c r="B69" s="5" t="s">
        <v>598</v>
      </c>
      <c r="C69" s="5" t="s">
        <v>606</v>
      </c>
      <c r="D69" s="5" t="s">
        <v>607</v>
      </c>
      <c r="E69" s="5" t="s">
        <v>608</v>
      </c>
      <c r="F69" s="5" t="s">
        <v>609</v>
      </c>
      <c r="G69" s="5" t="s">
        <v>291</v>
      </c>
      <c r="H69" s="5" t="s">
        <v>609</v>
      </c>
      <c r="I69" s="5" t="s">
        <v>610</v>
      </c>
      <c r="J69" s="5" t="s">
        <v>1199</v>
      </c>
      <c r="K69" s="5" t="str">
        <f t="shared" si="12"/>
        <v>Parcial</v>
      </c>
      <c r="L69" s="5"/>
      <c r="M69" s="5" t="s">
        <v>598</v>
      </c>
      <c r="N69" s="5" t="s">
        <v>500</v>
      </c>
      <c r="O69" s="5" t="s">
        <v>65</v>
      </c>
      <c r="P69" s="5" t="s">
        <v>138</v>
      </c>
      <c r="Q69" s="5" t="s">
        <v>611</v>
      </c>
      <c r="R69" s="5" t="s">
        <v>36</v>
      </c>
      <c r="S69" s="5" t="s">
        <v>612</v>
      </c>
      <c r="T69" s="4" t="str">
        <f t="shared" si="13"/>
        <v>Cerrar brecha parcial</v>
      </c>
      <c r="U69" s="4" t="str">
        <f t="shared" si="14"/>
        <v>Completar documentación/control y validar efectividad</v>
      </c>
      <c r="V69" s="4" t="str">
        <f t="shared" si="15"/>
        <v>31-75 días</v>
      </c>
      <c r="W69" s="11">
        <f t="shared" si="16"/>
        <v>1.5</v>
      </c>
      <c r="X69" s="4" t="str">
        <f t="shared" si="17"/>
        <v>Fase 4 - Controles técnicos</v>
      </c>
    </row>
    <row r="70" spans="1:24" ht="51">
      <c r="A70" s="5">
        <v>69</v>
      </c>
      <c r="B70" s="5" t="s">
        <v>598</v>
      </c>
      <c r="C70" s="5" t="s">
        <v>613</v>
      </c>
      <c r="D70" s="5" t="s">
        <v>614</v>
      </c>
      <c r="E70" s="5" t="s">
        <v>615</v>
      </c>
      <c r="F70" s="5" t="s">
        <v>616</v>
      </c>
      <c r="G70" s="5" t="s">
        <v>29</v>
      </c>
      <c r="H70" s="5" t="s">
        <v>617</v>
      </c>
      <c r="I70" s="5" t="s">
        <v>618</v>
      </c>
      <c r="J70" s="5" t="s">
        <v>1199</v>
      </c>
      <c r="K70" s="5" t="str">
        <f t="shared" si="12"/>
        <v>Parcial</v>
      </c>
      <c r="L70" s="5"/>
      <c r="M70" s="5" t="s">
        <v>598</v>
      </c>
      <c r="N70" s="5" t="s">
        <v>619</v>
      </c>
      <c r="O70" s="5" t="s">
        <v>33</v>
      </c>
      <c r="P70" s="5" t="s">
        <v>620</v>
      </c>
      <c r="Q70" s="5" t="s">
        <v>621</v>
      </c>
      <c r="R70" s="5" t="s">
        <v>36</v>
      </c>
      <c r="S70" s="5" t="s">
        <v>622</v>
      </c>
      <c r="T70" s="4" t="str">
        <f t="shared" si="13"/>
        <v>Cerrar brecha parcial</v>
      </c>
      <c r="U70" s="4" t="str">
        <f t="shared" si="14"/>
        <v>Completar documentación/control y validar efectividad</v>
      </c>
      <c r="V70" s="4" t="str">
        <f t="shared" si="15"/>
        <v>0-45 días</v>
      </c>
      <c r="W70" s="11">
        <f t="shared" si="16"/>
        <v>2</v>
      </c>
      <c r="X70" s="4" t="str">
        <f t="shared" si="17"/>
        <v>Fase 4 - Controles técnicos</v>
      </c>
    </row>
    <row r="71" spans="1:24" ht="25.5">
      <c r="A71" s="5">
        <v>70</v>
      </c>
      <c r="B71" s="5" t="s">
        <v>598</v>
      </c>
      <c r="C71" s="5" t="s">
        <v>623</v>
      </c>
      <c r="D71" s="5" t="s">
        <v>624</v>
      </c>
      <c r="E71" s="5" t="s">
        <v>625</v>
      </c>
      <c r="F71" s="5" t="s">
        <v>609</v>
      </c>
      <c r="G71" s="5" t="s">
        <v>291</v>
      </c>
      <c r="H71" s="5" t="s">
        <v>609</v>
      </c>
      <c r="I71" s="5" t="s">
        <v>626</v>
      </c>
      <c r="J71" s="5">
        <v>0</v>
      </c>
      <c r="K71" s="5" t="str">
        <f t="shared" si="12"/>
        <v>No cumple</v>
      </c>
      <c r="L71" s="5"/>
      <c r="M71" s="5" t="s">
        <v>598</v>
      </c>
      <c r="N71" s="5" t="s">
        <v>627</v>
      </c>
      <c r="O71" s="5" t="s">
        <v>65</v>
      </c>
      <c r="P71" s="5" t="s">
        <v>628</v>
      </c>
      <c r="Q71" s="5" t="s">
        <v>629</v>
      </c>
      <c r="R71" s="5" t="s">
        <v>36</v>
      </c>
      <c r="S71" s="5" t="s">
        <v>630</v>
      </c>
      <c r="T71" s="4" t="str">
        <f t="shared" si="13"/>
        <v>Implementar control</v>
      </c>
      <c r="U71" s="4" t="str">
        <f t="shared" si="14"/>
        <v>Diseñar, aprobar e implementar control requerido</v>
      </c>
      <c r="V71" s="4" t="str">
        <f t="shared" si="15"/>
        <v>31-60 días</v>
      </c>
      <c r="W71" s="11">
        <f t="shared" si="16"/>
        <v>2</v>
      </c>
      <c r="X71" s="4" t="str">
        <f t="shared" si="17"/>
        <v>Fase 4 - Controles técnicos</v>
      </c>
    </row>
    <row r="72" spans="1:24" ht="38.25">
      <c r="A72" s="5">
        <v>71</v>
      </c>
      <c r="B72" s="5" t="s">
        <v>631</v>
      </c>
      <c r="C72" s="5" t="s">
        <v>632</v>
      </c>
      <c r="D72" s="5" t="s">
        <v>633</v>
      </c>
      <c r="E72" s="5" t="s">
        <v>634</v>
      </c>
      <c r="F72" s="5" t="s">
        <v>635</v>
      </c>
      <c r="G72" s="5" t="s">
        <v>29</v>
      </c>
      <c r="H72" s="5" t="s">
        <v>635</v>
      </c>
      <c r="I72" s="5" t="s">
        <v>636</v>
      </c>
      <c r="J72" s="5">
        <v>1</v>
      </c>
      <c r="K72" s="5" t="str">
        <f t="shared" si="12"/>
        <v>Cumple</v>
      </c>
      <c r="L72" s="5"/>
      <c r="M72" s="5" t="s">
        <v>631</v>
      </c>
      <c r="N72" s="5" t="s">
        <v>44</v>
      </c>
      <c r="O72" s="5" t="s">
        <v>33</v>
      </c>
      <c r="P72" s="5" t="s">
        <v>45</v>
      </c>
      <c r="Q72" s="5" t="s">
        <v>637</v>
      </c>
      <c r="R72" s="5" t="s">
        <v>36</v>
      </c>
      <c r="S72" s="5" t="s">
        <v>638</v>
      </c>
      <c r="T72" s="4" t="str">
        <f t="shared" si="13"/>
        <v>Mantener / evidenciar</v>
      </c>
      <c r="U72" s="4" t="str">
        <f t="shared" si="14"/>
        <v>Mantener evidencia y revisión periódica</v>
      </c>
      <c r="V72" s="4" t="str">
        <f t="shared" si="15"/>
        <v>Revisión periódica</v>
      </c>
      <c r="W72" s="11">
        <f t="shared" si="16"/>
        <v>0</v>
      </c>
      <c r="X72" s="4" t="str">
        <f t="shared" si="17"/>
        <v>Mantenimiento</v>
      </c>
    </row>
    <row r="73" spans="1:24" ht="38.25">
      <c r="A73" s="5">
        <v>72</v>
      </c>
      <c r="B73" s="5" t="s">
        <v>631</v>
      </c>
      <c r="C73" s="5" t="s">
        <v>639</v>
      </c>
      <c r="D73" s="5" t="s">
        <v>640</v>
      </c>
      <c r="E73" s="5" t="s">
        <v>641</v>
      </c>
      <c r="F73" s="5" t="s">
        <v>642</v>
      </c>
      <c r="G73" s="5" t="s">
        <v>291</v>
      </c>
      <c r="H73" s="5" t="s">
        <v>642</v>
      </c>
      <c r="I73" s="5" t="s">
        <v>643</v>
      </c>
      <c r="J73" s="5">
        <v>1</v>
      </c>
      <c r="K73" s="5" t="str">
        <f t="shared" si="12"/>
        <v>Cumple</v>
      </c>
      <c r="L73" s="5"/>
      <c r="M73" s="5" t="s">
        <v>631</v>
      </c>
      <c r="N73" s="5" t="s">
        <v>644</v>
      </c>
      <c r="O73" s="5" t="s">
        <v>33</v>
      </c>
      <c r="P73" s="5" t="s">
        <v>138</v>
      </c>
      <c r="Q73" s="5" t="s">
        <v>645</v>
      </c>
      <c r="R73" s="5" t="s">
        <v>36</v>
      </c>
      <c r="S73" s="5" t="s">
        <v>646</v>
      </c>
      <c r="T73" s="4" t="str">
        <f t="shared" si="13"/>
        <v>Mantener / evidenciar</v>
      </c>
      <c r="U73" s="4" t="str">
        <f t="shared" si="14"/>
        <v>Mantener evidencia y revisión periódica</v>
      </c>
      <c r="V73" s="4" t="str">
        <f t="shared" si="15"/>
        <v>Revisión periódica</v>
      </c>
      <c r="W73" s="11">
        <f t="shared" si="16"/>
        <v>0</v>
      </c>
      <c r="X73" s="4" t="str">
        <f t="shared" si="17"/>
        <v>Mantenimiento</v>
      </c>
    </row>
    <row r="74" spans="1:24" ht="38.25">
      <c r="A74" s="5">
        <v>73</v>
      </c>
      <c r="B74" s="5" t="s">
        <v>631</v>
      </c>
      <c r="C74" s="5" t="s">
        <v>647</v>
      </c>
      <c r="D74" s="5" t="s">
        <v>648</v>
      </c>
      <c r="E74" s="5" t="s">
        <v>649</v>
      </c>
      <c r="F74" s="5" t="s">
        <v>642</v>
      </c>
      <c r="G74" s="5" t="s">
        <v>291</v>
      </c>
      <c r="H74" s="5" t="s">
        <v>642</v>
      </c>
      <c r="I74" s="5" t="s">
        <v>650</v>
      </c>
      <c r="J74" s="5">
        <v>0</v>
      </c>
      <c r="K74" s="5" t="str">
        <f t="shared" si="12"/>
        <v>No cumple</v>
      </c>
      <c r="L74" s="5"/>
      <c r="M74" s="5" t="s">
        <v>631</v>
      </c>
      <c r="N74" s="5" t="s">
        <v>651</v>
      </c>
      <c r="O74" s="5" t="s">
        <v>33</v>
      </c>
      <c r="P74" s="5" t="s">
        <v>652</v>
      </c>
      <c r="Q74" s="5" t="s">
        <v>653</v>
      </c>
      <c r="R74" s="5" t="s">
        <v>36</v>
      </c>
      <c r="S74" s="5" t="s">
        <v>654</v>
      </c>
      <c r="T74" s="4" t="str">
        <f t="shared" si="13"/>
        <v>Implementar control</v>
      </c>
      <c r="U74" s="4" t="str">
        <f t="shared" si="14"/>
        <v>Diseñar, aprobar e implementar control requerido</v>
      </c>
      <c r="V74" s="4" t="str">
        <f t="shared" si="15"/>
        <v>0-30 días</v>
      </c>
      <c r="W74" s="11">
        <f t="shared" si="16"/>
        <v>3</v>
      </c>
      <c r="X74" s="4" t="str">
        <f t="shared" si="17"/>
        <v>Fase 4 - Controles técnicos</v>
      </c>
    </row>
    <row r="75" spans="1:24" ht="25.5">
      <c r="A75" s="5">
        <v>74</v>
      </c>
      <c r="B75" s="5" t="s">
        <v>655</v>
      </c>
      <c r="C75" s="5" t="s">
        <v>656</v>
      </c>
      <c r="D75" s="5" t="s">
        <v>657</v>
      </c>
      <c r="E75" s="5" t="s">
        <v>658</v>
      </c>
      <c r="F75" s="5" t="s">
        <v>659</v>
      </c>
      <c r="G75" s="5" t="s">
        <v>29</v>
      </c>
      <c r="H75" s="5" t="s">
        <v>659</v>
      </c>
      <c r="I75" s="5" t="s">
        <v>660</v>
      </c>
      <c r="J75" s="5">
        <v>0</v>
      </c>
      <c r="K75" s="5" t="str">
        <f t="shared" si="12"/>
        <v>No cumple</v>
      </c>
      <c r="L75" s="5"/>
      <c r="M75" s="5" t="s">
        <v>655</v>
      </c>
      <c r="N75" s="5" t="s">
        <v>661</v>
      </c>
      <c r="O75" s="5" t="s">
        <v>33</v>
      </c>
      <c r="P75" s="5" t="s">
        <v>45</v>
      </c>
      <c r="Q75" s="5" t="s">
        <v>662</v>
      </c>
      <c r="R75" s="5" t="s">
        <v>36</v>
      </c>
      <c r="S75" s="5" t="s">
        <v>663</v>
      </c>
      <c r="T75" s="4" t="str">
        <f t="shared" si="13"/>
        <v>Implementar control</v>
      </c>
      <c r="U75" s="4" t="str">
        <f t="shared" si="14"/>
        <v>Diseñar, aprobar e implementar control requerido</v>
      </c>
      <c r="V75" s="4" t="str">
        <f t="shared" si="15"/>
        <v>0-30 días</v>
      </c>
      <c r="W75" s="11">
        <f t="shared" si="16"/>
        <v>3</v>
      </c>
      <c r="X75" s="4" t="str">
        <f t="shared" si="17"/>
        <v>Fase 3 - Continuidad y terceros</v>
      </c>
    </row>
    <row r="76" spans="1:24" ht="38.25">
      <c r="A76" s="5">
        <v>75</v>
      </c>
      <c r="B76" s="5" t="s">
        <v>655</v>
      </c>
      <c r="C76" s="5" t="s">
        <v>664</v>
      </c>
      <c r="D76" s="5" t="s">
        <v>665</v>
      </c>
      <c r="E76" s="5" t="s">
        <v>666</v>
      </c>
      <c r="F76" s="5" t="s">
        <v>667</v>
      </c>
      <c r="G76" s="5" t="s">
        <v>291</v>
      </c>
      <c r="H76" s="5" t="s">
        <v>667</v>
      </c>
      <c r="I76" s="5" t="s">
        <v>668</v>
      </c>
      <c r="J76" s="5">
        <v>0</v>
      </c>
      <c r="K76" s="5" t="str">
        <f t="shared" si="12"/>
        <v>No cumple</v>
      </c>
      <c r="L76" s="5"/>
      <c r="M76" s="5" t="s">
        <v>655</v>
      </c>
      <c r="N76" s="5" t="s">
        <v>669</v>
      </c>
      <c r="O76" s="5" t="s">
        <v>33</v>
      </c>
      <c r="P76" s="5" t="s">
        <v>276</v>
      </c>
      <c r="Q76" s="5" t="s">
        <v>670</v>
      </c>
      <c r="R76" s="5" t="s">
        <v>36</v>
      </c>
      <c r="S76" s="5" t="s">
        <v>671</v>
      </c>
      <c r="T76" s="4" t="str">
        <f t="shared" si="13"/>
        <v>Implementar control</v>
      </c>
      <c r="U76" s="4" t="str">
        <f t="shared" si="14"/>
        <v>Diseñar, aprobar e implementar control requerido</v>
      </c>
      <c r="V76" s="4" t="str">
        <f t="shared" si="15"/>
        <v>0-30 días</v>
      </c>
      <c r="W76" s="11">
        <f t="shared" si="16"/>
        <v>3</v>
      </c>
      <c r="X76" s="4" t="str">
        <f t="shared" si="17"/>
        <v>Fase 3 - Continuidad y terceros</v>
      </c>
    </row>
    <row r="77" spans="1:24" ht="38.25">
      <c r="A77" s="5">
        <v>76</v>
      </c>
      <c r="B77" s="5" t="s">
        <v>655</v>
      </c>
      <c r="C77" s="5" t="s">
        <v>672</v>
      </c>
      <c r="D77" s="5" t="s">
        <v>673</v>
      </c>
      <c r="E77" s="5" t="s">
        <v>674</v>
      </c>
      <c r="F77" s="5" t="s">
        <v>675</v>
      </c>
      <c r="G77" s="5" t="s">
        <v>291</v>
      </c>
      <c r="H77" s="5" t="s">
        <v>675</v>
      </c>
      <c r="I77" s="5" t="s">
        <v>676</v>
      </c>
      <c r="J77" s="5">
        <v>0</v>
      </c>
      <c r="K77" s="5" t="str">
        <f t="shared" si="12"/>
        <v>No cumple</v>
      </c>
      <c r="L77" s="5"/>
      <c r="M77" s="5" t="s">
        <v>655</v>
      </c>
      <c r="N77" s="5" t="s">
        <v>677</v>
      </c>
      <c r="O77" s="5" t="s">
        <v>33</v>
      </c>
      <c r="P77" s="5" t="s">
        <v>45</v>
      </c>
      <c r="Q77" s="5" t="s">
        <v>678</v>
      </c>
      <c r="R77" s="5" t="s">
        <v>36</v>
      </c>
      <c r="S77" s="5" t="s">
        <v>679</v>
      </c>
      <c r="T77" s="4" t="str">
        <f t="shared" si="13"/>
        <v>Implementar control</v>
      </c>
      <c r="U77" s="4" t="str">
        <f t="shared" si="14"/>
        <v>Diseñar, aprobar e implementar control requerido</v>
      </c>
      <c r="V77" s="4" t="str">
        <f t="shared" si="15"/>
        <v>0-30 días</v>
      </c>
      <c r="W77" s="11">
        <f t="shared" si="16"/>
        <v>3</v>
      </c>
      <c r="X77" s="4" t="str">
        <f t="shared" si="17"/>
        <v>Fase 3 - Continuidad y terceros</v>
      </c>
    </row>
    <row r="78" spans="1:24" ht="38.25">
      <c r="A78" s="5">
        <v>77</v>
      </c>
      <c r="B78" s="5" t="s">
        <v>655</v>
      </c>
      <c r="C78" s="5" t="s">
        <v>680</v>
      </c>
      <c r="D78" s="5" t="s">
        <v>681</v>
      </c>
      <c r="E78" s="5" t="s">
        <v>682</v>
      </c>
      <c r="F78" s="5" t="s">
        <v>683</v>
      </c>
      <c r="G78" s="5" t="s">
        <v>29</v>
      </c>
      <c r="H78" s="5" t="s">
        <v>683</v>
      </c>
      <c r="I78" s="5" t="s">
        <v>684</v>
      </c>
      <c r="J78" s="5">
        <v>0</v>
      </c>
      <c r="K78" s="5" t="str">
        <f t="shared" si="12"/>
        <v>No cumple</v>
      </c>
      <c r="L78" s="5"/>
      <c r="M78" s="5" t="s">
        <v>655</v>
      </c>
      <c r="N78" s="5" t="s">
        <v>685</v>
      </c>
      <c r="O78" s="5" t="s">
        <v>33</v>
      </c>
      <c r="P78" s="5" t="s">
        <v>686</v>
      </c>
      <c r="Q78" s="5" t="s">
        <v>687</v>
      </c>
      <c r="R78" s="5" t="s">
        <v>36</v>
      </c>
      <c r="S78" s="5" t="s">
        <v>688</v>
      </c>
      <c r="T78" s="4" t="str">
        <f t="shared" si="13"/>
        <v>Implementar control</v>
      </c>
      <c r="U78" s="4" t="str">
        <f t="shared" si="14"/>
        <v>Diseñar, aprobar e implementar control requerido</v>
      </c>
      <c r="V78" s="4" t="str">
        <f t="shared" si="15"/>
        <v>0-30 días</v>
      </c>
      <c r="W78" s="11">
        <f t="shared" si="16"/>
        <v>3</v>
      </c>
      <c r="X78" s="4" t="str">
        <f t="shared" si="17"/>
        <v>Fase 3 - Continuidad y terceros</v>
      </c>
    </row>
    <row r="79" spans="1:24" ht="38.25">
      <c r="A79" s="5">
        <v>78</v>
      </c>
      <c r="B79" s="5" t="s">
        <v>655</v>
      </c>
      <c r="C79" s="5" t="s">
        <v>689</v>
      </c>
      <c r="D79" s="5" t="s">
        <v>690</v>
      </c>
      <c r="E79" s="5" t="s">
        <v>691</v>
      </c>
      <c r="F79" s="5" t="s">
        <v>692</v>
      </c>
      <c r="G79" s="5" t="s">
        <v>29</v>
      </c>
      <c r="H79" s="5" t="s">
        <v>692</v>
      </c>
      <c r="I79" s="5" t="s">
        <v>693</v>
      </c>
      <c r="J79" s="5">
        <v>0</v>
      </c>
      <c r="K79" s="5" t="str">
        <f t="shared" si="12"/>
        <v>No cumple</v>
      </c>
      <c r="L79" s="5"/>
      <c r="M79" s="5" t="s">
        <v>655</v>
      </c>
      <c r="N79" s="5" t="s">
        <v>685</v>
      </c>
      <c r="O79" s="5" t="s">
        <v>33</v>
      </c>
      <c r="P79" s="5" t="s">
        <v>45</v>
      </c>
      <c r="Q79" s="5" t="s">
        <v>694</v>
      </c>
      <c r="R79" s="5" t="s">
        <v>36</v>
      </c>
      <c r="S79" s="5" t="s">
        <v>695</v>
      </c>
      <c r="T79" s="4" t="str">
        <f t="shared" si="13"/>
        <v>Implementar control</v>
      </c>
      <c r="U79" s="4" t="str">
        <f t="shared" si="14"/>
        <v>Diseñar, aprobar e implementar control requerido</v>
      </c>
      <c r="V79" s="4" t="str">
        <f t="shared" si="15"/>
        <v>0-30 días</v>
      </c>
      <c r="W79" s="11">
        <f t="shared" si="16"/>
        <v>3</v>
      </c>
      <c r="X79" s="4" t="str">
        <f t="shared" si="17"/>
        <v>Fase 3 - Continuidad y terceros</v>
      </c>
    </row>
    <row r="80" spans="1:24" ht="25.5">
      <c r="A80" s="5">
        <v>79</v>
      </c>
      <c r="B80" s="5" t="s">
        <v>655</v>
      </c>
      <c r="C80" s="5" t="s">
        <v>696</v>
      </c>
      <c r="D80" s="5" t="s">
        <v>697</v>
      </c>
      <c r="E80" s="5" t="s">
        <v>698</v>
      </c>
      <c r="F80" s="5" t="s">
        <v>675</v>
      </c>
      <c r="G80" s="5" t="s">
        <v>291</v>
      </c>
      <c r="H80" s="5" t="s">
        <v>675</v>
      </c>
      <c r="I80" s="5" t="s">
        <v>699</v>
      </c>
      <c r="J80" s="5">
        <v>0</v>
      </c>
      <c r="K80" s="5" t="str">
        <f t="shared" si="12"/>
        <v>No cumple</v>
      </c>
      <c r="L80" s="5"/>
      <c r="M80" s="5" t="s">
        <v>655</v>
      </c>
      <c r="N80" s="5" t="s">
        <v>700</v>
      </c>
      <c r="O80" s="5" t="s">
        <v>65</v>
      </c>
      <c r="P80" s="5" t="s">
        <v>701</v>
      </c>
      <c r="Q80" s="5" t="s">
        <v>702</v>
      </c>
      <c r="R80" s="5" t="s">
        <v>36</v>
      </c>
      <c r="S80" s="5" t="s">
        <v>703</v>
      </c>
      <c r="T80" s="4" t="str">
        <f t="shared" si="13"/>
        <v>Implementar control</v>
      </c>
      <c r="U80" s="4" t="str">
        <f t="shared" si="14"/>
        <v>Diseñar, aprobar e implementar control requerido</v>
      </c>
      <c r="V80" s="4" t="str">
        <f t="shared" si="15"/>
        <v>31-60 días</v>
      </c>
      <c r="W80" s="11">
        <f t="shared" si="16"/>
        <v>2</v>
      </c>
      <c r="X80" s="4" t="str">
        <f t="shared" si="17"/>
        <v>Fase 3 - Continuidad y terceros</v>
      </c>
    </row>
    <row r="81" spans="1:24" ht="51">
      <c r="A81" s="5">
        <v>80</v>
      </c>
      <c r="B81" s="5" t="s">
        <v>704</v>
      </c>
      <c r="C81" s="5" t="s">
        <v>705</v>
      </c>
      <c r="D81" s="5" t="s">
        <v>706</v>
      </c>
      <c r="E81" s="5" t="s">
        <v>707</v>
      </c>
      <c r="F81" s="5" t="s">
        <v>708</v>
      </c>
      <c r="G81" s="5" t="s">
        <v>29</v>
      </c>
      <c r="H81" s="5" t="s">
        <v>708</v>
      </c>
      <c r="I81" s="5" t="s">
        <v>709</v>
      </c>
      <c r="J81" s="5" t="s">
        <v>1199</v>
      </c>
      <c r="K81" s="5" t="str">
        <f t="shared" si="12"/>
        <v>Parcial</v>
      </c>
      <c r="L81" s="5"/>
      <c r="M81" s="5" t="s">
        <v>704</v>
      </c>
      <c r="N81" s="5" t="s">
        <v>710</v>
      </c>
      <c r="O81" s="5" t="s">
        <v>33</v>
      </c>
      <c r="P81" s="5" t="s">
        <v>711</v>
      </c>
      <c r="Q81" s="5" t="s">
        <v>712</v>
      </c>
      <c r="R81" s="5" t="s">
        <v>36</v>
      </c>
      <c r="S81" s="5" t="s">
        <v>713</v>
      </c>
      <c r="T81" s="4" t="str">
        <f t="shared" si="13"/>
        <v>Cerrar brecha parcial</v>
      </c>
      <c r="U81" s="4" t="str">
        <f t="shared" si="14"/>
        <v>Completar documentación/control y validar efectividad</v>
      </c>
      <c r="V81" s="4" t="str">
        <f t="shared" si="15"/>
        <v>0-45 días</v>
      </c>
      <c r="W81" s="11">
        <f t="shared" si="16"/>
        <v>2</v>
      </c>
      <c r="X81" s="4" t="str">
        <f t="shared" si="17"/>
        <v>Fase 3 - Continuidad y terceros</v>
      </c>
    </row>
    <row r="82" spans="1:24" ht="38.25">
      <c r="A82" s="5">
        <v>81</v>
      </c>
      <c r="B82" s="5" t="s">
        <v>704</v>
      </c>
      <c r="C82" s="5" t="s">
        <v>714</v>
      </c>
      <c r="D82" s="5" t="s">
        <v>715</v>
      </c>
      <c r="E82" s="5" t="s">
        <v>716</v>
      </c>
      <c r="F82" s="5" t="s">
        <v>717</v>
      </c>
      <c r="G82" s="5" t="s">
        <v>291</v>
      </c>
      <c r="H82" s="5" t="s">
        <v>718</v>
      </c>
      <c r="I82" s="5" t="s">
        <v>719</v>
      </c>
      <c r="J82" s="5" t="s">
        <v>1199</v>
      </c>
      <c r="K82" s="5" t="str">
        <f t="shared" si="12"/>
        <v>Parcial</v>
      </c>
      <c r="L82" s="5"/>
      <c r="M82" s="5" t="s">
        <v>704</v>
      </c>
      <c r="N82" s="5" t="s">
        <v>720</v>
      </c>
      <c r="O82" s="5" t="s">
        <v>33</v>
      </c>
      <c r="P82" s="5" t="s">
        <v>721</v>
      </c>
      <c r="Q82" s="5" t="s">
        <v>722</v>
      </c>
      <c r="R82" s="5" t="s">
        <v>36</v>
      </c>
      <c r="S82" s="5" t="s">
        <v>723</v>
      </c>
      <c r="T82" s="4" t="str">
        <f t="shared" si="13"/>
        <v>Cerrar brecha parcial</v>
      </c>
      <c r="U82" s="4" t="str">
        <f t="shared" si="14"/>
        <v>Completar documentación/control y validar efectividad</v>
      </c>
      <c r="V82" s="4" t="str">
        <f t="shared" si="15"/>
        <v>0-45 días</v>
      </c>
      <c r="W82" s="11">
        <f t="shared" si="16"/>
        <v>2</v>
      </c>
      <c r="X82" s="4" t="str">
        <f t="shared" si="17"/>
        <v>Fase 3 - Continuidad y terceros</v>
      </c>
    </row>
    <row r="83" spans="1:24" ht="51">
      <c r="A83" s="5">
        <v>82</v>
      </c>
      <c r="B83" s="5" t="s">
        <v>704</v>
      </c>
      <c r="C83" s="5" t="s">
        <v>724</v>
      </c>
      <c r="D83" s="5" t="s">
        <v>725</v>
      </c>
      <c r="E83" s="5" t="s">
        <v>726</v>
      </c>
      <c r="F83" s="5" t="s">
        <v>727</v>
      </c>
      <c r="G83" s="5" t="s">
        <v>29</v>
      </c>
      <c r="H83" s="5" t="s">
        <v>728</v>
      </c>
      <c r="I83" s="5" t="s">
        <v>729</v>
      </c>
      <c r="J83" s="5" t="s">
        <v>1199</v>
      </c>
      <c r="K83" s="5" t="str">
        <f t="shared" si="12"/>
        <v>Parcial</v>
      </c>
      <c r="L83" s="5"/>
      <c r="M83" s="5" t="s">
        <v>704</v>
      </c>
      <c r="N83" s="5" t="s">
        <v>730</v>
      </c>
      <c r="O83" s="5" t="s">
        <v>33</v>
      </c>
      <c r="P83" s="5" t="s">
        <v>731</v>
      </c>
      <c r="Q83" s="5" t="s">
        <v>732</v>
      </c>
      <c r="R83" s="5" t="s">
        <v>36</v>
      </c>
      <c r="S83" s="5" t="s">
        <v>733</v>
      </c>
      <c r="T83" s="4" t="str">
        <f t="shared" si="13"/>
        <v>Cerrar brecha parcial</v>
      </c>
      <c r="U83" s="4" t="str">
        <f t="shared" si="14"/>
        <v>Completar documentación/control y validar efectividad</v>
      </c>
      <c r="V83" s="4" t="str">
        <f t="shared" si="15"/>
        <v>0-45 días</v>
      </c>
      <c r="W83" s="11">
        <f t="shared" si="16"/>
        <v>2</v>
      </c>
      <c r="X83" s="4" t="str">
        <f t="shared" si="17"/>
        <v>Fase 3 - Continuidad y terceros</v>
      </c>
    </row>
    <row r="84" spans="1:24" ht="38.25">
      <c r="A84" s="5">
        <v>83</v>
      </c>
      <c r="B84" s="5" t="s">
        <v>704</v>
      </c>
      <c r="C84" s="5" t="s">
        <v>734</v>
      </c>
      <c r="D84" s="5" t="s">
        <v>735</v>
      </c>
      <c r="E84" s="5" t="s">
        <v>736</v>
      </c>
      <c r="F84" s="5" t="s">
        <v>708</v>
      </c>
      <c r="G84" s="5" t="s">
        <v>29</v>
      </c>
      <c r="H84" s="5" t="s">
        <v>708</v>
      </c>
      <c r="I84" s="5" t="s">
        <v>737</v>
      </c>
      <c r="J84" s="5">
        <v>0</v>
      </c>
      <c r="K84" s="5" t="str">
        <f t="shared" si="12"/>
        <v>No cumple</v>
      </c>
      <c r="L84" s="5"/>
      <c r="M84" s="5" t="s">
        <v>704</v>
      </c>
      <c r="N84" s="5" t="s">
        <v>738</v>
      </c>
      <c r="O84" s="5" t="s">
        <v>33</v>
      </c>
      <c r="P84" s="5" t="s">
        <v>45</v>
      </c>
      <c r="Q84" s="5" t="s">
        <v>739</v>
      </c>
      <c r="R84" s="5" t="s">
        <v>36</v>
      </c>
      <c r="S84" s="5" t="s">
        <v>740</v>
      </c>
      <c r="T84" s="4" t="str">
        <f t="shared" si="13"/>
        <v>Implementar control</v>
      </c>
      <c r="U84" s="4" t="str">
        <f t="shared" si="14"/>
        <v>Diseñar, aprobar e implementar control requerido</v>
      </c>
      <c r="V84" s="4" t="str">
        <f t="shared" si="15"/>
        <v>0-30 días</v>
      </c>
      <c r="W84" s="11">
        <f t="shared" si="16"/>
        <v>3</v>
      </c>
      <c r="X84" s="4" t="str">
        <f t="shared" si="17"/>
        <v>Fase 3 - Continuidad y terceros</v>
      </c>
    </row>
    <row r="85" spans="1:24" ht="25.5">
      <c r="A85" s="5">
        <v>84</v>
      </c>
      <c r="B85" s="5" t="s">
        <v>704</v>
      </c>
      <c r="C85" s="5" t="s">
        <v>741</v>
      </c>
      <c r="D85" s="5" t="s">
        <v>742</v>
      </c>
      <c r="E85" s="5" t="s">
        <v>743</v>
      </c>
      <c r="F85" s="5" t="s">
        <v>718</v>
      </c>
      <c r="G85" s="5" t="s">
        <v>291</v>
      </c>
      <c r="H85" s="5" t="s">
        <v>718</v>
      </c>
      <c r="I85" s="5" t="s">
        <v>744</v>
      </c>
      <c r="J85" s="5">
        <v>0</v>
      </c>
      <c r="K85" s="5" t="str">
        <f t="shared" si="12"/>
        <v>No cumple</v>
      </c>
      <c r="L85" s="5"/>
      <c r="M85" s="5" t="s">
        <v>704</v>
      </c>
      <c r="N85" s="5" t="s">
        <v>745</v>
      </c>
      <c r="O85" s="5" t="s">
        <v>33</v>
      </c>
      <c r="P85" s="5" t="s">
        <v>746</v>
      </c>
      <c r="Q85" s="5" t="s">
        <v>747</v>
      </c>
      <c r="R85" s="5" t="s">
        <v>36</v>
      </c>
      <c r="S85" s="5" t="s">
        <v>748</v>
      </c>
      <c r="T85" s="4" t="str">
        <f t="shared" si="13"/>
        <v>Implementar control</v>
      </c>
      <c r="U85" s="4" t="str">
        <f t="shared" si="14"/>
        <v>Diseñar, aprobar e implementar control requerido</v>
      </c>
      <c r="V85" s="4" t="str">
        <f t="shared" si="15"/>
        <v>0-30 días</v>
      </c>
      <c r="W85" s="11">
        <f t="shared" si="16"/>
        <v>3</v>
      </c>
      <c r="X85" s="4" t="str">
        <f t="shared" si="17"/>
        <v>Fase 3 - Continuidad y terceros</v>
      </c>
    </row>
    <row r="86" spans="1:24" ht="51">
      <c r="A86" s="5">
        <v>85</v>
      </c>
      <c r="B86" s="5" t="s">
        <v>704</v>
      </c>
      <c r="C86" s="5" t="s">
        <v>749</v>
      </c>
      <c r="D86" s="5" t="s">
        <v>750</v>
      </c>
      <c r="E86" s="5" t="s">
        <v>751</v>
      </c>
      <c r="F86" s="5" t="s">
        <v>718</v>
      </c>
      <c r="G86" s="5" t="s">
        <v>291</v>
      </c>
      <c r="H86" s="5" t="s">
        <v>718</v>
      </c>
      <c r="I86" s="5" t="s">
        <v>752</v>
      </c>
      <c r="J86" s="5">
        <v>0</v>
      </c>
      <c r="K86" s="5" t="str">
        <f t="shared" si="12"/>
        <v>No cumple</v>
      </c>
      <c r="L86" s="5"/>
      <c r="M86" s="5" t="s">
        <v>704</v>
      </c>
      <c r="N86" s="5" t="s">
        <v>753</v>
      </c>
      <c r="O86" s="5" t="s">
        <v>33</v>
      </c>
      <c r="P86" s="5" t="s">
        <v>45</v>
      </c>
      <c r="Q86" s="5" t="s">
        <v>754</v>
      </c>
      <c r="R86" s="5" t="s">
        <v>36</v>
      </c>
      <c r="S86" s="5" t="s">
        <v>755</v>
      </c>
      <c r="T86" s="4" t="str">
        <f t="shared" si="13"/>
        <v>Implementar control</v>
      </c>
      <c r="U86" s="4" t="str">
        <f t="shared" si="14"/>
        <v>Diseñar, aprobar e implementar control requerido</v>
      </c>
      <c r="V86" s="4" t="str">
        <f t="shared" si="15"/>
        <v>0-30 días</v>
      </c>
      <c r="W86" s="11">
        <f t="shared" si="16"/>
        <v>3</v>
      </c>
      <c r="X86" s="4" t="str">
        <f t="shared" si="17"/>
        <v>Fase 3 - Continuidad y terceros</v>
      </c>
    </row>
    <row r="87" spans="1:24" ht="38.25">
      <c r="A87" s="5">
        <v>86</v>
      </c>
      <c r="B87" s="5" t="s">
        <v>704</v>
      </c>
      <c r="C87" s="5" t="s">
        <v>756</v>
      </c>
      <c r="D87" s="5" t="s">
        <v>757</v>
      </c>
      <c r="E87" s="5" t="s">
        <v>758</v>
      </c>
      <c r="F87" s="5" t="s">
        <v>718</v>
      </c>
      <c r="G87" s="5" t="s">
        <v>291</v>
      </c>
      <c r="H87" s="5" t="s">
        <v>718</v>
      </c>
      <c r="I87" s="5" t="s">
        <v>759</v>
      </c>
      <c r="J87" s="5">
        <v>0</v>
      </c>
      <c r="K87" s="5" t="str">
        <f t="shared" si="12"/>
        <v>No cumple</v>
      </c>
      <c r="L87" s="5"/>
      <c r="M87" s="5" t="s">
        <v>704</v>
      </c>
      <c r="N87" s="5" t="s">
        <v>760</v>
      </c>
      <c r="O87" s="5" t="s">
        <v>33</v>
      </c>
      <c r="P87" s="5" t="s">
        <v>761</v>
      </c>
      <c r="Q87" s="5" t="s">
        <v>762</v>
      </c>
      <c r="R87" s="5" t="s">
        <v>36</v>
      </c>
      <c r="S87" s="5" t="s">
        <v>763</v>
      </c>
      <c r="T87" s="4" t="str">
        <f t="shared" si="13"/>
        <v>Implementar control</v>
      </c>
      <c r="U87" s="4" t="str">
        <f t="shared" si="14"/>
        <v>Diseñar, aprobar e implementar control requerido</v>
      </c>
      <c r="V87" s="4" t="str">
        <f t="shared" si="15"/>
        <v>0-30 días</v>
      </c>
      <c r="W87" s="11">
        <f t="shared" si="16"/>
        <v>3</v>
      </c>
      <c r="X87" s="4" t="str">
        <f t="shared" si="17"/>
        <v>Fase 3 - Continuidad y terceros</v>
      </c>
    </row>
    <row r="88" spans="1:24" ht="25.5">
      <c r="A88" s="5">
        <v>87</v>
      </c>
      <c r="B88" s="5" t="s">
        <v>704</v>
      </c>
      <c r="C88" s="5" t="s">
        <v>764</v>
      </c>
      <c r="D88" s="5" t="s">
        <v>765</v>
      </c>
      <c r="E88" s="5" t="s">
        <v>766</v>
      </c>
      <c r="F88" s="5" t="s">
        <v>718</v>
      </c>
      <c r="G88" s="5" t="s">
        <v>291</v>
      </c>
      <c r="H88" s="5" t="s">
        <v>718</v>
      </c>
      <c r="I88" s="5" t="s">
        <v>767</v>
      </c>
      <c r="J88" s="5">
        <v>0</v>
      </c>
      <c r="K88" s="5" t="str">
        <f t="shared" si="12"/>
        <v>No cumple</v>
      </c>
      <c r="L88" s="5"/>
      <c r="M88" s="5" t="s">
        <v>704</v>
      </c>
      <c r="N88" s="5" t="s">
        <v>768</v>
      </c>
      <c r="O88" s="5" t="s">
        <v>33</v>
      </c>
      <c r="P88" s="5" t="s">
        <v>769</v>
      </c>
      <c r="Q88" s="5" t="s">
        <v>770</v>
      </c>
      <c r="R88" s="5" t="s">
        <v>36</v>
      </c>
      <c r="S88" s="5" t="s">
        <v>771</v>
      </c>
      <c r="T88" s="4" t="str">
        <f t="shared" si="13"/>
        <v>Implementar control</v>
      </c>
      <c r="U88" s="4" t="str">
        <f t="shared" si="14"/>
        <v>Diseñar, aprobar e implementar control requerido</v>
      </c>
      <c r="V88" s="4" t="str">
        <f t="shared" si="15"/>
        <v>0-30 días</v>
      </c>
      <c r="W88" s="11">
        <f t="shared" si="16"/>
        <v>3</v>
      </c>
      <c r="X88" s="4" t="str">
        <f t="shared" si="17"/>
        <v>Fase 3 - Continuidad y terceros</v>
      </c>
    </row>
    <row r="89" spans="1:24" ht="51">
      <c r="A89" s="5">
        <v>88</v>
      </c>
      <c r="B89" s="5" t="s">
        <v>704</v>
      </c>
      <c r="C89" s="5" t="s">
        <v>772</v>
      </c>
      <c r="D89" s="5" t="s">
        <v>773</v>
      </c>
      <c r="E89" s="5" t="s">
        <v>774</v>
      </c>
      <c r="F89" s="5" t="s">
        <v>718</v>
      </c>
      <c r="G89" s="5" t="s">
        <v>291</v>
      </c>
      <c r="H89" s="5" t="s">
        <v>718</v>
      </c>
      <c r="I89" s="5" t="s">
        <v>775</v>
      </c>
      <c r="J89" s="5" t="s">
        <v>1199</v>
      </c>
      <c r="K89" s="5" t="str">
        <f t="shared" si="12"/>
        <v>Parcial</v>
      </c>
      <c r="L89" s="5"/>
      <c r="M89" s="5" t="s">
        <v>704</v>
      </c>
      <c r="N89" s="5" t="s">
        <v>776</v>
      </c>
      <c r="O89" s="5" t="s">
        <v>33</v>
      </c>
      <c r="P89" s="5" t="s">
        <v>777</v>
      </c>
      <c r="Q89" s="5" t="s">
        <v>778</v>
      </c>
      <c r="R89" s="5" t="s">
        <v>36</v>
      </c>
      <c r="S89" s="5" t="s">
        <v>779</v>
      </c>
      <c r="T89" s="4" t="str">
        <f t="shared" si="13"/>
        <v>Cerrar brecha parcial</v>
      </c>
      <c r="U89" s="4" t="str">
        <f t="shared" si="14"/>
        <v>Completar documentación/control y validar efectividad</v>
      </c>
      <c r="V89" s="4" t="str">
        <f t="shared" si="15"/>
        <v>0-45 días</v>
      </c>
      <c r="W89" s="11">
        <f t="shared" si="16"/>
        <v>2</v>
      </c>
      <c r="X89" s="4" t="str">
        <f t="shared" si="17"/>
        <v>Fase 3 - Continuidad y terceros</v>
      </c>
    </row>
    <row r="90" spans="1:24" ht="38.25">
      <c r="A90" s="5">
        <v>89</v>
      </c>
      <c r="B90" s="5" t="s">
        <v>704</v>
      </c>
      <c r="C90" s="5" t="s">
        <v>780</v>
      </c>
      <c r="D90" s="5" t="s">
        <v>781</v>
      </c>
      <c r="E90" s="5" t="s">
        <v>782</v>
      </c>
      <c r="F90" s="5" t="s">
        <v>718</v>
      </c>
      <c r="G90" s="5" t="s">
        <v>291</v>
      </c>
      <c r="H90" s="5" t="s">
        <v>718</v>
      </c>
      <c r="I90" s="5" t="s">
        <v>783</v>
      </c>
      <c r="J90" s="5">
        <v>0</v>
      </c>
      <c r="K90" s="5" t="str">
        <f t="shared" si="12"/>
        <v>No cumple</v>
      </c>
      <c r="L90" s="5"/>
      <c r="M90" s="5" t="s">
        <v>704</v>
      </c>
      <c r="N90" s="5" t="s">
        <v>784</v>
      </c>
      <c r="O90" s="5" t="s">
        <v>33</v>
      </c>
      <c r="P90" s="5" t="s">
        <v>785</v>
      </c>
      <c r="Q90" s="5" t="s">
        <v>786</v>
      </c>
      <c r="R90" s="5" t="s">
        <v>36</v>
      </c>
      <c r="S90" s="5" t="s">
        <v>787</v>
      </c>
      <c r="T90" s="4" t="str">
        <f t="shared" si="13"/>
        <v>Implementar control</v>
      </c>
      <c r="U90" s="4" t="str">
        <f t="shared" si="14"/>
        <v>Diseñar, aprobar e implementar control requerido</v>
      </c>
      <c r="V90" s="4" t="str">
        <f t="shared" si="15"/>
        <v>0-30 días</v>
      </c>
      <c r="W90" s="11">
        <f t="shared" si="16"/>
        <v>3</v>
      </c>
      <c r="X90" s="4" t="str">
        <f t="shared" si="17"/>
        <v>Fase 3 - Continuidad y terceros</v>
      </c>
    </row>
    <row r="91" spans="1:24" ht="38.25">
      <c r="A91" s="5">
        <v>90</v>
      </c>
      <c r="B91" s="5" t="s">
        <v>704</v>
      </c>
      <c r="C91" s="5" t="s">
        <v>788</v>
      </c>
      <c r="D91" s="5" t="s">
        <v>789</v>
      </c>
      <c r="E91" s="5" t="s">
        <v>790</v>
      </c>
      <c r="F91" s="5" t="s">
        <v>718</v>
      </c>
      <c r="G91" s="5" t="s">
        <v>291</v>
      </c>
      <c r="H91" s="5" t="s">
        <v>718</v>
      </c>
      <c r="I91" s="5" t="s">
        <v>791</v>
      </c>
      <c r="J91" s="5">
        <v>0</v>
      </c>
      <c r="K91" s="5" t="str">
        <f t="shared" si="12"/>
        <v>No cumple</v>
      </c>
      <c r="L91" s="5"/>
      <c r="M91" s="5" t="s">
        <v>704</v>
      </c>
      <c r="N91" s="5" t="s">
        <v>792</v>
      </c>
      <c r="O91" s="5" t="s">
        <v>33</v>
      </c>
      <c r="P91" s="5" t="s">
        <v>721</v>
      </c>
      <c r="Q91" s="5" t="s">
        <v>793</v>
      </c>
      <c r="R91" s="5" t="s">
        <v>36</v>
      </c>
      <c r="S91" s="5" t="s">
        <v>794</v>
      </c>
      <c r="T91" s="4" t="str">
        <f t="shared" si="13"/>
        <v>Implementar control</v>
      </c>
      <c r="U91" s="4" t="str">
        <f t="shared" si="14"/>
        <v>Diseñar, aprobar e implementar control requerido</v>
      </c>
      <c r="V91" s="4" t="str">
        <f t="shared" si="15"/>
        <v>0-30 días</v>
      </c>
      <c r="W91" s="11">
        <f t="shared" si="16"/>
        <v>3</v>
      </c>
      <c r="X91" s="4" t="str">
        <f t="shared" si="17"/>
        <v>Fase 3 - Continuidad y terceros</v>
      </c>
    </row>
    <row r="92" spans="1:24" ht="38.25">
      <c r="A92" s="5">
        <v>91</v>
      </c>
      <c r="B92" s="5" t="s">
        <v>795</v>
      </c>
      <c r="C92" s="5" t="s">
        <v>796</v>
      </c>
      <c r="D92" s="5" t="s">
        <v>797</v>
      </c>
      <c r="E92" s="5" t="s">
        <v>798</v>
      </c>
      <c r="F92" s="5" t="s">
        <v>552</v>
      </c>
      <c r="G92" s="5" t="s">
        <v>29</v>
      </c>
      <c r="H92" s="5" t="s">
        <v>553</v>
      </c>
      <c r="I92" s="5" t="s">
        <v>799</v>
      </c>
      <c r="J92" s="5" t="s">
        <v>1199</v>
      </c>
      <c r="K92" s="5" t="str">
        <f t="shared" si="12"/>
        <v>Parcial</v>
      </c>
      <c r="L92" s="5"/>
      <c r="M92" s="5" t="s">
        <v>795</v>
      </c>
      <c r="N92" s="5" t="s">
        <v>417</v>
      </c>
      <c r="O92" s="5" t="s">
        <v>33</v>
      </c>
      <c r="P92" s="5" t="s">
        <v>800</v>
      </c>
      <c r="Q92" s="5" t="s">
        <v>801</v>
      </c>
      <c r="R92" s="5" t="s">
        <v>36</v>
      </c>
      <c r="S92" s="5" t="s">
        <v>802</v>
      </c>
      <c r="T92" s="4" t="str">
        <f t="shared" si="13"/>
        <v>Cerrar brecha parcial</v>
      </c>
      <c r="U92" s="4" t="str">
        <f t="shared" si="14"/>
        <v>Completar documentación/control y validar efectividad</v>
      </c>
      <c r="V92" s="4" t="str">
        <f t="shared" si="15"/>
        <v>0-45 días</v>
      </c>
      <c r="W92" s="11">
        <f t="shared" si="16"/>
        <v>2</v>
      </c>
      <c r="X92" s="4" t="str">
        <f t="shared" si="17"/>
        <v>Fase 5 - Canales y datos</v>
      </c>
    </row>
    <row r="93" spans="1:24" ht="25.5">
      <c r="A93" s="5">
        <v>92</v>
      </c>
      <c r="B93" s="5" t="s">
        <v>795</v>
      </c>
      <c r="C93" s="5" t="s">
        <v>803</v>
      </c>
      <c r="D93" s="5" t="s">
        <v>804</v>
      </c>
      <c r="E93" s="5" t="s">
        <v>805</v>
      </c>
      <c r="F93" s="5" t="s">
        <v>325</v>
      </c>
      <c r="G93" s="5" t="s">
        <v>291</v>
      </c>
      <c r="H93" s="5" t="s">
        <v>325</v>
      </c>
      <c r="I93" s="5" t="s">
        <v>806</v>
      </c>
      <c r="J93" s="5">
        <v>0</v>
      </c>
      <c r="K93" s="5" t="str">
        <f t="shared" si="12"/>
        <v>No cumple</v>
      </c>
      <c r="L93" s="5"/>
      <c r="M93" s="5" t="s">
        <v>795</v>
      </c>
      <c r="N93" s="5" t="s">
        <v>417</v>
      </c>
      <c r="O93" s="5" t="s">
        <v>33</v>
      </c>
      <c r="P93" s="5" t="s">
        <v>807</v>
      </c>
      <c r="Q93" s="5" t="s">
        <v>808</v>
      </c>
      <c r="R93" s="5" t="s">
        <v>36</v>
      </c>
      <c r="S93" s="5" t="s">
        <v>809</v>
      </c>
      <c r="T93" s="4" t="str">
        <f t="shared" si="13"/>
        <v>Implementar control</v>
      </c>
      <c r="U93" s="4" t="str">
        <f t="shared" si="14"/>
        <v>Diseñar, aprobar e implementar control requerido</v>
      </c>
      <c r="V93" s="4" t="str">
        <f t="shared" si="15"/>
        <v>0-30 días</v>
      </c>
      <c r="W93" s="11">
        <f t="shared" si="16"/>
        <v>3</v>
      </c>
      <c r="X93" s="4" t="str">
        <f t="shared" si="17"/>
        <v>Fase 5 - Canales y datos</v>
      </c>
    </row>
    <row r="94" spans="1:24" ht="38.25">
      <c r="A94" s="5">
        <v>93</v>
      </c>
      <c r="B94" s="5" t="s">
        <v>795</v>
      </c>
      <c r="C94" s="5" t="s">
        <v>810</v>
      </c>
      <c r="D94" s="5" t="s">
        <v>811</v>
      </c>
      <c r="E94" s="5" t="s">
        <v>812</v>
      </c>
      <c r="F94" s="5" t="s">
        <v>813</v>
      </c>
      <c r="G94" s="5" t="s">
        <v>29</v>
      </c>
      <c r="H94" s="5" t="s">
        <v>62</v>
      </c>
      <c r="I94" s="5" t="s">
        <v>814</v>
      </c>
      <c r="J94" s="5" t="s">
        <v>1199</v>
      </c>
      <c r="K94" s="5" t="str">
        <f t="shared" si="12"/>
        <v>Parcial</v>
      </c>
      <c r="L94" s="5"/>
      <c r="M94" s="5" t="s">
        <v>795</v>
      </c>
      <c r="N94" s="5" t="s">
        <v>784</v>
      </c>
      <c r="O94" s="5" t="s">
        <v>33</v>
      </c>
      <c r="P94" s="5" t="s">
        <v>815</v>
      </c>
      <c r="Q94" s="5" t="s">
        <v>816</v>
      </c>
      <c r="R94" s="5" t="s">
        <v>36</v>
      </c>
      <c r="S94" s="5" t="s">
        <v>817</v>
      </c>
      <c r="T94" s="4" t="str">
        <f t="shared" si="13"/>
        <v>Cerrar brecha parcial</v>
      </c>
      <c r="U94" s="4" t="str">
        <f t="shared" si="14"/>
        <v>Completar documentación/control y validar efectividad</v>
      </c>
      <c r="V94" s="4" t="str">
        <f t="shared" si="15"/>
        <v>0-45 días</v>
      </c>
      <c r="W94" s="11">
        <f t="shared" si="16"/>
        <v>2</v>
      </c>
      <c r="X94" s="4" t="str">
        <f t="shared" si="17"/>
        <v>Fase 5 - Canales y datos</v>
      </c>
    </row>
    <row r="95" spans="1:24" ht="38.25">
      <c r="A95" s="5">
        <v>94</v>
      </c>
      <c r="B95" s="5" t="s">
        <v>795</v>
      </c>
      <c r="C95" s="5" t="s">
        <v>818</v>
      </c>
      <c r="D95" s="5" t="s">
        <v>819</v>
      </c>
      <c r="E95" s="5" t="s">
        <v>820</v>
      </c>
      <c r="F95" s="5" t="s">
        <v>821</v>
      </c>
      <c r="G95" s="5" t="s">
        <v>291</v>
      </c>
      <c r="H95" s="5" t="s">
        <v>821</v>
      </c>
      <c r="I95" s="5" t="s">
        <v>822</v>
      </c>
      <c r="J95" s="5" t="s">
        <v>1216</v>
      </c>
      <c r="K95" s="5" t="str">
        <f t="shared" si="12"/>
        <v>No aplica</v>
      </c>
      <c r="L95" s="5"/>
      <c r="M95" s="5" t="s">
        <v>795</v>
      </c>
      <c r="N95" s="5" t="s">
        <v>823</v>
      </c>
      <c r="O95" s="5" t="s">
        <v>33</v>
      </c>
      <c r="P95" s="5" t="s">
        <v>138</v>
      </c>
      <c r="Q95" s="5" t="s">
        <v>824</v>
      </c>
      <c r="R95" s="5" t="s">
        <v>36</v>
      </c>
      <c r="S95" s="5" t="s">
        <v>825</v>
      </c>
      <c r="T95" s="4" t="str">
        <f t="shared" si="13"/>
        <v>Sin acción</v>
      </c>
      <c r="U95" s="4" t="str">
        <f t="shared" si="14"/>
        <v>Documentar justificación de no aplicabilidad</v>
      </c>
      <c r="V95" s="4" t="str">
        <f t="shared" si="15"/>
        <v>No aplica</v>
      </c>
      <c r="W95" s="11">
        <f t="shared" si="16"/>
        <v>0</v>
      </c>
      <c r="X95" s="4" t="str">
        <f t="shared" si="17"/>
        <v>No aplica</v>
      </c>
    </row>
    <row r="96" spans="1:24" ht="38.25">
      <c r="A96" s="5">
        <v>95</v>
      </c>
      <c r="B96" s="5" t="s">
        <v>826</v>
      </c>
      <c r="C96" s="5" t="s">
        <v>827</v>
      </c>
      <c r="D96" s="5" t="s">
        <v>828</v>
      </c>
      <c r="E96" s="5" t="s">
        <v>829</v>
      </c>
      <c r="F96" s="5" t="s">
        <v>821</v>
      </c>
      <c r="G96" s="5" t="s">
        <v>291</v>
      </c>
      <c r="H96" s="5" t="s">
        <v>821</v>
      </c>
      <c r="I96" s="5" t="s">
        <v>830</v>
      </c>
      <c r="J96" s="5" t="s">
        <v>1216</v>
      </c>
      <c r="K96" s="5" t="str">
        <f t="shared" si="12"/>
        <v>No aplica</v>
      </c>
      <c r="L96" s="5"/>
      <c r="M96" s="5" t="s">
        <v>826</v>
      </c>
      <c r="N96" s="5" t="s">
        <v>831</v>
      </c>
      <c r="O96" s="5" t="s">
        <v>33</v>
      </c>
      <c r="P96" s="5" t="s">
        <v>832</v>
      </c>
      <c r="Q96" s="5" t="s">
        <v>833</v>
      </c>
      <c r="R96" s="5" t="s">
        <v>36</v>
      </c>
      <c r="S96" s="5" t="s">
        <v>834</v>
      </c>
      <c r="T96" s="4" t="str">
        <f t="shared" si="13"/>
        <v>Sin acción</v>
      </c>
      <c r="U96" s="4" t="str">
        <f t="shared" si="14"/>
        <v>Documentar justificación de no aplicabilidad</v>
      </c>
      <c r="V96" s="4" t="str">
        <f t="shared" si="15"/>
        <v>No aplica</v>
      </c>
      <c r="W96" s="11">
        <f t="shared" si="16"/>
        <v>0</v>
      </c>
      <c r="X96" s="4" t="str">
        <f t="shared" si="17"/>
        <v>No aplica</v>
      </c>
    </row>
    <row r="97" spans="1:24" ht="38.25">
      <c r="A97" s="5">
        <v>96</v>
      </c>
      <c r="B97" s="5" t="s">
        <v>826</v>
      </c>
      <c r="C97" s="5" t="s">
        <v>835</v>
      </c>
      <c r="D97" s="5" t="s">
        <v>836</v>
      </c>
      <c r="E97" s="5" t="s">
        <v>837</v>
      </c>
      <c r="F97" s="5" t="s">
        <v>821</v>
      </c>
      <c r="G97" s="5" t="s">
        <v>291</v>
      </c>
      <c r="H97" s="5" t="s">
        <v>821</v>
      </c>
      <c r="I97" s="5" t="s">
        <v>838</v>
      </c>
      <c r="J97" s="5" t="s">
        <v>1216</v>
      </c>
      <c r="K97" s="5" t="str">
        <f t="shared" si="12"/>
        <v>No aplica</v>
      </c>
      <c r="L97" s="5"/>
      <c r="M97" s="5" t="s">
        <v>826</v>
      </c>
      <c r="N97" s="5" t="s">
        <v>839</v>
      </c>
      <c r="O97" s="5" t="s">
        <v>33</v>
      </c>
      <c r="P97" s="5" t="s">
        <v>276</v>
      </c>
      <c r="Q97" s="5" t="s">
        <v>840</v>
      </c>
      <c r="R97" s="5" t="s">
        <v>36</v>
      </c>
      <c r="S97" s="5" t="s">
        <v>841</v>
      </c>
      <c r="T97" s="4" t="str">
        <f t="shared" si="13"/>
        <v>Sin acción</v>
      </c>
      <c r="U97" s="4" t="str">
        <f t="shared" si="14"/>
        <v>Documentar justificación de no aplicabilidad</v>
      </c>
      <c r="V97" s="4" t="str">
        <f t="shared" si="15"/>
        <v>No aplica</v>
      </c>
      <c r="W97" s="11">
        <f t="shared" si="16"/>
        <v>0</v>
      </c>
      <c r="X97" s="4" t="str">
        <f t="shared" si="17"/>
        <v>No aplica</v>
      </c>
    </row>
    <row r="98" spans="1:24" ht="25.5">
      <c r="A98" s="5">
        <v>97</v>
      </c>
      <c r="B98" s="5" t="s">
        <v>826</v>
      </c>
      <c r="C98" s="5" t="s">
        <v>842</v>
      </c>
      <c r="D98" s="5" t="s">
        <v>843</v>
      </c>
      <c r="E98" s="5" t="s">
        <v>844</v>
      </c>
      <c r="F98" s="5" t="s">
        <v>845</v>
      </c>
      <c r="G98" s="5" t="s">
        <v>291</v>
      </c>
      <c r="H98" s="5" t="s">
        <v>846</v>
      </c>
      <c r="I98" s="5" t="s">
        <v>847</v>
      </c>
      <c r="J98" s="5" t="s">
        <v>1216</v>
      </c>
      <c r="K98" s="5" t="str">
        <f t="shared" ref="K98:K129" si="18">IF(TRIM(J98&amp;"")="","Por evaluar",IF(UPPER(TRIM(J98&amp;""))="N/A","No aplica",IF(OR(J98=1,J98="1"),"Cumple",IF(OR(J98=0.5,J98="0.5"),"Parcial",IF(OR(J98=0,J98="0"),"No cumple","Revisar valor")))))</f>
        <v>No aplica</v>
      </c>
      <c r="L98" s="5"/>
      <c r="M98" s="5" t="s">
        <v>826</v>
      </c>
      <c r="N98" s="5" t="s">
        <v>500</v>
      </c>
      <c r="O98" s="5" t="s">
        <v>33</v>
      </c>
      <c r="P98" s="5" t="s">
        <v>848</v>
      </c>
      <c r="Q98" s="5" t="s">
        <v>849</v>
      </c>
      <c r="R98" s="5" t="s">
        <v>36</v>
      </c>
      <c r="S98" s="5" t="s">
        <v>850</v>
      </c>
      <c r="T98" s="4" t="str">
        <f t="shared" ref="T98:T116" si="19">IF(K98="Cumple","Mantener / evidenciar",IF(K98="Parcial","Cerrar brecha parcial",IF(K98="No cumple","Implementar control",IF(K98="No aplica","Sin acción","Levantar evidencia"))))</f>
        <v>Sin acción</v>
      </c>
      <c r="U98" s="4" t="str">
        <f t="shared" ref="U98:U116" si="20">IF(K98="Cumple","Mantener evidencia y revisión periódica",IF(K98="No aplica","Documentar justificación de no aplicabilidad",IF(K98="Por evaluar","Levantar evidencia y confirmar aplicabilidad",IF(K98="Parcial","Completar documentación/control y validar efectividad",IF(K98="No cumple","Diseñar, aprobar e implementar control requerido","Corregir valor de cumplimiento")))))</f>
        <v>Documentar justificación de no aplicabilidad</v>
      </c>
      <c r="V98" s="4" t="str">
        <f t="shared" ref="V98:V116" si="21">IF(K98="No cumple",IF(O98="Alta","0-30 días",IF(O98="Media","31-60 días","61-90 días")),IF(K98="Parcial",IF(O98="Alta","0-45 días",IF(O98="Media","31-75 días","61-120 días")),IF(K98="Por evaluar",IF(O98="Alta","0-15 días","0-30 días"),IF(K98="Cumple","Revisión periódica","No aplica"))))</f>
        <v>No aplica</v>
      </c>
      <c r="W98" s="11">
        <f t="shared" ref="W98:W116" si="22">IF(K98="No cumple",IF(O98="Alta",3,IF(O98="Media",2,1)),IF(K98="Parcial",IF(O98="Alta",2,IF(O98="Media",1.5,1)),IF(K98="Por evaluar",IF(O98="Alta",1.5,IF(O98="Media",1,0.5)),0)))</f>
        <v>0</v>
      </c>
      <c r="X98" s="4" t="str">
        <f t="shared" ref="X98:X116" si="23">IF(K98="No aplica","No aplica",IF(K98="Cumple","Mantenimiento",IF(K98="Por evaluar","Fase 0 - Evidencia/aplicabilidad",IF(OR(B98="Gobernanza",B98="SGSI",B98="Contexto y alcance"),"Fase 1 - Gobierno y SGSI",IF(OR(B98="Riesgos",B98="Procesos",B98="Personas"),"Fase 2 - Riesgos y operación",IF(OR(B98="Terceros",B98="Continuidad"),"Fase 3 - Continuidad y terceros",IF(OR(B98="Tecnología",B98="Accesos",B98="Ciberseguridad",B98="Vulnerabilidades",B98="Incidentes",B98="Monitoreo"),"Fase 4 - Controles técnicos","Fase 5 - Canales y datos")))))))</f>
        <v>No aplica</v>
      </c>
    </row>
    <row r="99" spans="1:24" ht="38.25">
      <c r="A99" s="5">
        <v>98</v>
      </c>
      <c r="B99" s="5" t="s">
        <v>826</v>
      </c>
      <c r="C99" s="5" t="s">
        <v>851</v>
      </c>
      <c r="D99" s="5" t="s">
        <v>852</v>
      </c>
      <c r="E99" s="5" t="s">
        <v>853</v>
      </c>
      <c r="F99" s="5" t="s">
        <v>821</v>
      </c>
      <c r="G99" s="5" t="s">
        <v>291</v>
      </c>
      <c r="H99" s="5" t="s">
        <v>821</v>
      </c>
      <c r="I99" s="5" t="s">
        <v>854</v>
      </c>
      <c r="J99" s="5" t="s">
        <v>1216</v>
      </c>
      <c r="K99" s="5" t="str">
        <f t="shared" si="18"/>
        <v>No aplica</v>
      </c>
      <c r="L99" s="5"/>
      <c r="M99" s="5" t="s">
        <v>826</v>
      </c>
      <c r="N99" s="5" t="s">
        <v>555</v>
      </c>
      <c r="O99" s="5" t="s">
        <v>33</v>
      </c>
      <c r="P99" s="5" t="s">
        <v>855</v>
      </c>
      <c r="Q99" s="5" t="s">
        <v>856</v>
      </c>
      <c r="R99" s="5" t="s">
        <v>36</v>
      </c>
      <c r="S99" s="5" t="s">
        <v>857</v>
      </c>
      <c r="T99" s="4" t="str">
        <f t="shared" si="19"/>
        <v>Sin acción</v>
      </c>
      <c r="U99" s="4" t="str">
        <f t="shared" si="20"/>
        <v>Documentar justificación de no aplicabilidad</v>
      </c>
      <c r="V99" s="4" t="str">
        <f t="shared" si="21"/>
        <v>No aplica</v>
      </c>
      <c r="W99" s="11">
        <f t="shared" si="22"/>
        <v>0</v>
      </c>
      <c r="X99" s="4" t="str">
        <f t="shared" si="23"/>
        <v>No aplica</v>
      </c>
    </row>
    <row r="100" spans="1:24" ht="38.25">
      <c r="A100" s="5">
        <v>99</v>
      </c>
      <c r="B100" s="5" t="s">
        <v>826</v>
      </c>
      <c r="C100" s="5" t="s">
        <v>858</v>
      </c>
      <c r="D100" s="5" t="s">
        <v>859</v>
      </c>
      <c r="E100" s="5" t="s">
        <v>860</v>
      </c>
      <c r="F100" s="5" t="s">
        <v>861</v>
      </c>
      <c r="G100" s="5" t="s">
        <v>291</v>
      </c>
      <c r="H100" s="5" t="s">
        <v>862</v>
      </c>
      <c r="I100" s="5" t="s">
        <v>863</v>
      </c>
      <c r="J100" s="5" t="s">
        <v>1216</v>
      </c>
      <c r="K100" s="5" t="str">
        <f t="shared" si="18"/>
        <v>No aplica</v>
      </c>
      <c r="L100" s="5"/>
      <c r="M100" s="5" t="s">
        <v>826</v>
      </c>
      <c r="N100" s="5" t="s">
        <v>864</v>
      </c>
      <c r="O100" s="5" t="s">
        <v>33</v>
      </c>
      <c r="P100" s="5" t="s">
        <v>138</v>
      </c>
      <c r="Q100" s="5" t="s">
        <v>865</v>
      </c>
      <c r="R100" s="5" t="s">
        <v>36</v>
      </c>
      <c r="S100" s="5" t="s">
        <v>866</v>
      </c>
      <c r="T100" s="4" t="str">
        <f t="shared" si="19"/>
        <v>Sin acción</v>
      </c>
      <c r="U100" s="4" t="str">
        <f t="shared" si="20"/>
        <v>Documentar justificación de no aplicabilidad</v>
      </c>
      <c r="V100" s="4" t="str">
        <f t="shared" si="21"/>
        <v>No aplica</v>
      </c>
      <c r="W100" s="11">
        <f t="shared" si="22"/>
        <v>0</v>
      </c>
      <c r="X100" s="4" t="str">
        <f t="shared" si="23"/>
        <v>No aplica</v>
      </c>
    </row>
    <row r="101" spans="1:24" ht="38.25">
      <c r="A101" s="5">
        <v>100</v>
      </c>
      <c r="B101" s="5" t="s">
        <v>826</v>
      </c>
      <c r="C101" s="5" t="s">
        <v>867</v>
      </c>
      <c r="D101" s="5" t="s">
        <v>868</v>
      </c>
      <c r="E101" s="5" t="s">
        <v>869</v>
      </c>
      <c r="F101" s="5" t="s">
        <v>845</v>
      </c>
      <c r="G101" s="5" t="s">
        <v>291</v>
      </c>
      <c r="H101" s="5" t="s">
        <v>846</v>
      </c>
      <c r="I101" s="5" t="s">
        <v>870</v>
      </c>
      <c r="J101" s="5" t="s">
        <v>1216</v>
      </c>
      <c r="K101" s="5" t="str">
        <f t="shared" si="18"/>
        <v>No aplica</v>
      </c>
      <c r="L101" s="5"/>
      <c r="M101" s="5" t="s">
        <v>826</v>
      </c>
      <c r="N101" s="5" t="s">
        <v>871</v>
      </c>
      <c r="O101" s="5" t="s">
        <v>65</v>
      </c>
      <c r="P101" s="5" t="s">
        <v>872</v>
      </c>
      <c r="Q101" s="5" t="s">
        <v>873</v>
      </c>
      <c r="R101" s="5" t="s">
        <v>36</v>
      </c>
      <c r="S101" s="5" t="s">
        <v>874</v>
      </c>
      <c r="T101" s="4" t="str">
        <f t="shared" si="19"/>
        <v>Sin acción</v>
      </c>
      <c r="U101" s="4" t="str">
        <f t="shared" si="20"/>
        <v>Documentar justificación de no aplicabilidad</v>
      </c>
      <c r="V101" s="4" t="str">
        <f t="shared" si="21"/>
        <v>No aplica</v>
      </c>
      <c r="W101" s="11">
        <f t="shared" si="22"/>
        <v>0</v>
      </c>
      <c r="X101" s="4" t="str">
        <f t="shared" si="23"/>
        <v>No aplica</v>
      </c>
    </row>
    <row r="102" spans="1:24" ht="38.25">
      <c r="A102" s="5">
        <v>101</v>
      </c>
      <c r="B102" s="5" t="s">
        <v>826</v>
      </c>
      <c r="C102" s="5" t="s">
        <v>875</v>
      </c>
      <c r="D102" s="5" t="s">
        <v>876</v>
      </c>
      <c r="E102" s="5" t="s">
        <v>877</v>
      </c>
      <c r="F102" s="5" t="s">
        <v>821</v>
      </c>
      <c r="G102" s="5" t="s">
        <v>291</v>
      </c>
      <c r="H102" s="5" t="s">
        <v>821</v>
      </c>
      <c r="I102" s="5" t="s">
        <v>878</v>
      </c>
      <c r="J102" s="5" t="s">
        <v>1216</v>
      </c>
      <c r="K102" s="5" t="str">
        <f t="shared" si="18"/>
        <v>No aplica</v>
      </c>
      <c r="L102" s="5"/>
      <c r="M102" s="5" t="s">
        <v>826</v>
      </c>
      <c r="N102" s="5" t="s">
        <v>879</v>
      </c>
      <c r="O102" s="5" t="s">
        <v>33</v>
      </c>
      <c r="P102" s="5" t="s">
        <v>138</v>
      </c>
      <c r="Q102" s="5" t="s">
        <v>880</v>
      </c>
      <c r="R102" s="5" t="s">
        <v>36</v>
      </c>
      <c r="S102" s="5" t="s">
        <v>881</v>
      </c>
      <c r="T102" s="4" t="str">
        <f t="shared" si="19"/>
        <v>Sin acción</v>
      </c>
      <c r="U102" s="4" t="str">
        <f t="shared" si="20"/>
        <v>Documentar justificación de no aplicabilidad</v>
      </c>
      <c r="V102" s="4" t="str">
        <f t="shared" si="21"/>
        <v>No aplica</v>
      </c>
      <c r="W102" s="11">
        <f t="shared" si="22"/>
        <v>0</v>
      </c>
      <c r="X102" s="4" t="str">
        <f t="shared" si="23"/>
        <v>No aplica</v>
      </c>
    </row>
    <row r="103" spans="1:24" ht="38.25">
      <c r="A103" s="5">
        <v>102</v>
      </c>
      <c r="B103" s="5" t="s">
        <v>826</v>
      </c>
      <c r="C103" s="5" t="s">
        <v>882</v>
      </c>
      <c r="D103" s="5" t="s">
        <v>883</v>
      </c>
      <c r="E103" s="5" t="s">
        <v>884</v>
      </c>
      <c r="F103" s="5" t="s">
        <v>821</v>
      </c>
      <c r="G103" s="5" t="s">
        <v>291</v>
      </c>
      <c r="H103" s="5" t="s">
        <v>821</v>
      </c>
      <c r="I103" s="5" t="s">
        <v>885</v>
      </c>
      <c r="J103" s="5" t="s">
        <v>1216</v>
      </c>
      <c r="K103" s="5" t="str">
        <f t="shared" si="18"/>
        <v>No aplica</v>
      </c>
      <c r="L103" s="5"/>
      <c r="M103" s="5" t="s">
        <v>826</v>
      </c>
      <c r="N103" s="5" t="s">
        <v>886</v>
      </c>
      <c r="O103" s="5" t="s">
        <v>33</v>
      </c>
      <c r="P103" s="5" t="s">
        <v>138</v>
      </c>
      <c r="Q103" s="5" t="s">
        <v>887</v>
      </c>
      <c r="R103" s="5" t="s">
        <v>36</v>
      </c>
      <c r="S103" s="5" t="s">
        <v>888</v>
      </c>
      <c r="T103" s="4" t="str">
        <f t="shared" si="19"/>
        <v>Sin acción</v>
      </c>
      <c r="U103" s="4" t="str">
        <f t="shared" si="20"/>
        <v>Documentar justificación de no aplicabilidad</v>
      </c>
      <c r="V103" s="4" t="str">
        <f t="shared" si="21"/>
        <v>No aplica</v>
      </c>
      <c r="W103" s="11">
        <f t="shared" si="22"/>
        <v>0</v>
      </c>
      <c r="X103" s="4" t="str">
        <f t="shared" si="23"/>
        <v>No aplica</v>
      </c>
    </row>
    <row r="104" spans="1:24" ht="38.25">
      <c r="A104" s="5">
        <v>103</v>
      </c>
      <c r="B104" s="5" t="s">
        <v>826</v>
      </c>
      <c r="C104" s="5" t="s">
        <v>889</v>
      </c>
      <c r="D104" s="5" t="s">
        <v>890</v>
      </c>
      <c r="E104" s="5" t="s">
        <v>891</v>
      </c>
      <c r="F104" s="5" t="s">
        <v>821</v>
      </c>
      <c r="G104" s="5" t="s">
        <v>291</v>
      </c>
      <c r="H104" s="5" t="s">
        <v>821</v>
      </c>
      <c r="I104" s="5" t="s">
        <v>892</v>
      </c>
      <c r="J104" s="5" t="s">
        <v>1216</v>
      </c>
      <c r="K104" s="5" t="str">
        <f t="shared" si="18"/>
        <v>No aplica</v>
      </c>
      <c r="L104" s="5"/>
      <c r="M104" s="5" t="s">
        <v>826</v>
      </c>
      <c r="N104" s="5" t="s">
        <v>831</v>
      </c>
      <c r="O104" s="5" t="s">
        <v>33</v>
      </c>
      <c r="P104" s="5" t="s">
        <v>893</v>
      </c>
      <c r="Q104" s="5" t="s">
        <v>894</v>
      </c>
      <c r="R104" s="5" t="s">
        <v>36</v>
      </c>
      <c r="S104" s="5" t="s">
        <v>895</v>
      </c>
      <c r="T104" s="4" t="str">
        <f t="shared" si="19"/>
        <v>Sin acción</v>
      </c>
      <c r="U104" s="4" t="str">
        <f t="shared" si="20"/>
        <v>Documentar justificación de no aplicabilidad</v>
      </c>
      <c r="V104" s="4" t="str">
        <f t="shared" si="21"/>
        <v>No aplica</v>
      </c>
      <c r="W104" s="11">
        <f t="shared" si="22"/>
        <v>0</v>
      </c>
      <c r="X104" s="4" t="str">
        <f t="shared" si="23"/>
        <v>No aplica</v>
      </c>
    </row>
    <row r="105" spans="1:24" ht="38.25">
      <c r="A105" s="5">
        <v>104</v>
      </c>
      <c r="B105" s="5" t="s">
        <v>826</v>
      </c>
      <c r="C105" s="5" t="s">
        <v>896</v>
      </c>
      <c r="D105" s="5" t="s">
        <v>897</v>
      </c>
      <c r="E105" s="5" t="s">
        <v>898</v>
      </c>
      <c r="F105" s="5" t="s">
        <v>821</v>
      </c>
      <c r="G105" s="5" t="s">
        <v>291</v>
      </c>
      <c r="H105" s="5" t="s">
        <v>821</v>
      </c>
      <c r="I105" s="5" t="s">
        <v>899</v>
      </c>
      <c r="J105" s="5" t="s">
        <v>1216</v>
      </c>
      <c r="K105" s="5" t="str">
        <f t="shared" si="18"/>
        <v>No aplica</v>
      </c>
      <c r="L105" s="5"/>
      <c r="M105" s="5" t="s">
        <v>826</v>
      </c>
      <c r="N105" s="5" t="s">
        <v>900</v>
      </c>
      <c r="O105" s="5" t="s">
        <v>33</v>
      </c>
      <c r="P105" s="5" t="s">
        <v>138</v>
      </c>
      <c r="Q105" s="5" t="s">
        <v>901</v>
      </c>
      <c r="R105" s="5" t="s">
        <v>36</v>
      </c>
      <c r="S105" s="5" t="s">
        <v>902</v>
      </c>
      <c r="T105" s="4" t="str">
        <f t="shared" si="19"/>
        <v>Sin acción</v>
      </c>
      <c r="U105" s="4" t="str">
        <f t="shared" si="20"/>
        <v>Documentar justificación de no aplicabilidad</v>
      </c>
      <c r="V105" s="4" t="str">
        <f t="shared" si="21"/>
        <v>No aplica</v>
      </c>
      <c r="W105" s="11">
        <f t="shared" si="22"/>
        <v>0</v>
      </c>
      <c r="X105" s="4" t="str">
        <f t="shared" si="23"/>
        <v>No aplica</v>
      </c>
    </row>
    <row r="106" spans="1:24" ht="38.25">
      <c r="A106" s="5">
        <v>105</v>
      </c>
      <c r="B106" s="5" t="s">
        <v>826</v>
      </c>
      <c r="C106" s="5" t="s">
        <v>903</v>
      </c>
      <c r="D106" s="5" t="s">
        <v>904</v>
      </c>
      <c r="E106" s="5" t="s">
        <v>905</v>
      </c>
      <c r="F106" s="5" t="s">
        <v>845</v>
      </c>
      <c r="G106" s="5" t="s">
        <v>291</v>
      </c>
      <c r="H106" s="5" t="s">
        <v>846</v>
      </c>
      <c r="I106" s="5" t="s">
        <v>906</v>
      </c>
      <c r="J106" s="5" t="s">
        <v>1216</v>
      </c>
      <c r="K106" s="5" t="str">
        <f t="shared" si="18"/>
        <v>No aplica</v>
      </c>
      <c r="L106" s="5"/>
      <c r="M106" s="5" t="s">
        <v>826</v>
      </c>
      <c r="N106" s="5" t="s">
        <v>907</v>
      </c>
      <c r="O106" s="5" t="s">
        <v>65</v>
      </c>
      <c r="P106" s="5" t="s">
        <v>138</v>
      </c>
      <c r="Q106" s="5" t="s">
        <v>908</v>
      </c>
      <c r="R106" s="5" t="s">
        <v>36</v>
      </c>
      <c r="S106" s="5" t="s">
        <v>909</v>
      </c>
      <c r="T106" s="4" t="str">
        <f t="shared" si="19"/>
        <v>Sin acción</v>
      </c>
      <c r="U106" s="4" t="str">
        <f t="shared" si="20"/>
        <v>Documentar justificación de no aplicabilidad</v>
      </c>
      <c r="V106" s="4" t="str">
        <f t="shared" si="21"/>
        <v>No aplica</v>
      </c>
      <c r="W106" s="11">
        <f t="shared" si="22"/>
        <v>0</v>
      </c>
      <c r="X106" s="4" t="str">
        <f t="shared" si="23"/>
        <v>No aplica</v>
      </c>
    </row>
    <row r="107" spans="1:24" ht="51">
      <c r="A107" s="5">
        <v>106</v>
      </c>
      <c r="B107" s="5" t="s">
        <v>826</v>
      </c>
      <c r="C107" s="5" t="s">
        <v>910</v>
      </c>
      <c r="D107" s="5" t="s">
        <v>911</v>
      </c>
      <c r="E107" s="5" t="s">
        <v>912</v>
      </c>
      <c r="F107" s="5" t="s">
        <v>913</v>
      </c>
      <c r="G107" s="5" t="s">
        <v>291</v>
      </c>
      <c r="H107" s="5" t="s">
        <v>913</v>
      </c>
      <c r="I107" s="5" t="s">
        <v>914</v>
      </c>
      <c r="J107" s="5" t="s">
        <v>1216</v>
      </c>
      <c r="K107" s="5" t="str">
        <f t="shared" si="18"/>
        <v>No aplica</v>
      </c>
      <c r="L107" s="5"/>
      <c r="M107" s="5" t="s">
        <v>826</v>
      </c>
      <c r="N107" s="5" t="s">
        <v>864</v>
      </c>
      <c r="O107" s="5" t="s">
        <v>33</v>
      </c>
      <c r="P107" s="5" t="s">
        <v>915</v>
      </c>
      <c r="Q107" s="5" t="s">
        <v>916</v>
      </c>
      <c r="R107" s="5" t="s">
        <v>36</v>
      </c>
      <c r="S107" s="5" t="s">
        <v>917</v>
      </c>
      <c r="T107" s="4" t="str">
        <f t="shared" si="19"/>
        <v>Sin acción</v>
      </c>
      <c r="U107" s="4" t="str">
        <f t="shared" si="20"/>
        <v>Documentar justificación de no aplicabilidad</v>
      </c>
      <c r="V107" s="4" t="str">
        <f t="shared" si="21"/>
        <v>No aplica</v>
      </c>
      <c r="W107" s="11">
        <f t="shared" si="22"/>
        <v>0</v>
      </c>
      <c r="X107" s="4" t="str">
        <f t="shared" si="23"/>
        <v>No aplica</v>
      </c>
    </row>
    <row r="108" spans="1:24" ht="51">
      <c r="A108" s="5">
        <v>107</v>
      </c>
      <c r="B108" s="5" t="s">
        <v>826</v>
      </c>
      <c r="C108" s="5" t="s">
        <v>918</v>
      </c>
      <c r="D108" s="5" t="s">
        <v>919</v>
      </c>
      <c r="E108" s="5" t="s">
        <v>920</v>
      </c>
      <c r="F108" s="5" t="s">
        <v>921</v>
      </c>
      <c r="G108" s="5" t="s">
        <v>291</v>
      </c>
      <c r="H108" s="5" t="s">
        <v>922</v>
      </c>
      <c r="I108" s="5" t="s">
        <v>923</v>
      </c>
      <c r="J108" s="5" t="s">
        <v>1216</v>
      </c>
      <c r="K108" s="5" t="str">
        <f t="shared" si="18"/>
        <v>No aplica</v>
      </c>
      <c r="L108" s="5"/>
      <c r="M108" s="5" t="s">
        <v>826</v>
      </c>
      <c r="N108" s="5" t="s">
        <v>924</v>
      </c>
      <c r="O108" s="5" t="s">
        <v>33</v>
      </c>
      <c r="P108" s="5" t="s">
        <v>872</v>
      </c>
      <c r="Q108" s="5" t="s">
        <v>925</v>
      </c>
      <c r="R108" s="5" t="s">
        <v>36</v>
      </c>
      <c r="S108" s="5" t="s">
        <v>926</v>
      </c>
      <c r="T108" s="4" t="str">
        <f t="shared" si="19"/>
        <v>Sin acción</v>
      </c>
      <c r="U108" s="4" t="str">
        <f t="shared" si="20"/>
        <v>Documentar justificación de no aplicabilidad</v>
      </c>
      <c r="V108" s="4" t="str">
        <f t="shared" si="21"/>
        <v>No aplica</v>
      </c>
      <c r="W108" s="11">
        <f t="shared" si="22"/>
        <v>0</v>
      </c>
      <c r="X108" s="4" t="str">
        <f t="shared" si="23"/>
        <v>No aplica</v>
      </c>
    </row>
    <row r="109" spans="1:24" ht="38.25">
      <c r="A109" s="5">
        <v>108</v>
      </c>
      <c r="B109" s="5" t="s">
        <v>826</v>
      </c>
      <c r="C109" s="5" t="s">
        <v>927</v>
      </c>
      <c r="D109" s="5" t="s">
        <v>928</v>
      </c>
      <c r="E109" s="5" t="s">
        <v>929</v>
      </c>
      <c r="F109" s="5" t="s">
        <v>930</v>
      </c>
      <c r="G109" s="5" t="s">
        <v>291</v>
      </c>
      <c r="H109" s="5" t="s">
        <v>930</v>
      </c>
      <c r="I109" s="5" t="s">
        <v>931</v>
      </c>
      <c r="J109" s="5" t="s">
        <v>1216</v>
      </c>
      <c r="K109" s="5" t="str">
        <f t="shared" si="18"/>
        <v>No aplica</v>
      </c>
      <c r="L109" s="5"/>
      <c r="M109" s="5" t="s">
        <v>826</v>
      </c>
      <c r="N109" s="5" t="s">
        <v>932</v>
      </c>
      <c r="O109" s="5" t="s">
        <v>33</v>
      </c>
      <c r="P109" s="5" t="s">
        <v>872</v>
      </c>
      <c r="Q109" s="5" t="s">
        <v>933</v>
      </c>
      <c r="R109" s="5" t="s">
        <v>36</v>
      </c>
      <c r="S109" s="5" t="s">
        <v>934</v>
      </c>
      <c r="T109" s="4" t="str">
        <f t="shared" si="19"/>
        <v>Sin acción</v>
      </c>
      <c r="U109" s="4" t="str">
        <f t="shared" si="20"/>
        <v>Documentar justificación de no aplicabilidad</v>
      </c>
      <c r="V109" s="4" t="str">
        <f t="shared" si="21"/>
        <v>No aplica</v>
      </c>
      <c r="W109" s="11">
        <f t="shared" si="22"/>
        <v>0</v>
      </c>
      <c r="X109" s="4" t="str">
        <f t="shared" si="23"/>
        <v>No aplica</v>
      </c>
    </row>
    <row r="110" spans="1:24" ht="38.25">
      <c r="A110" s="5">
        <v>109</v>
      </c>
      <c r="B110" s="5" t="s">
        <v>826</v>
      </c>
      <c r="C110" s="5" t="s">
        <v>935</v>
      </c>
      <c r="D110" s="5" t="s">
        <v>936</v>
      </c>
      <c r="E110" s="5" t="s">
        <v>937</v>
      </c>
      <c r="F110" s="5" t="s">
        <v>938</v>
      </c>
      <c r="G110" s="5" t="s">
        <v>291</v>
      </c>
      <c r="H110" s="5" t="s">
        <v>938</v>
      </c>
      <c r="I110" s="5" t="s">
        <v>939</v>
      </c>
      <c r="J110" s="5" t="s">
        <v>1216</v>
      </c>
      <c r="K110" s="5" t="str">
        <f t="shared" si="18"/>
        <v>No aplica</v>
      </c>
      <c r="L110" s="5"/>
      <c r="M110" s="5" t="s">
        <v>826</v>
      </c>
      <c r="N110" s="5" t="s">
        <v>940</v>
      </c>
      <c r="O110" s="5" t="s">
        <v>65</v>
      </c>
      <c r="P110" s="5" t="s">
        <v>138</v>
      </c>
      <c r="Q110" s="5" t="s">
        <v>941</v>
      </c>
      <c r="R110" s="5" t="s">
        <v>36</v>
      </c>
      <c r="S110" s="5" t="s">
        <v>942</v>
      </c>
      <c r="T110" s="4" t="str">
        <f t="shared" si="19"/>
        <v>Sin acción</v>
      </c>
      <c r="U110" s="4" t="str">
        <f t="shared" si="20"/>
        <v>Documentar justificación de no aplicabilidad</v>
      </c>
      <c r="V110" s="4" t="str">
        <f t="shared" si="21"/>
        <v>No aplica</v>
      </c>
      <c r="W110" s="11">
        <f t="shared" si="22"/>
        <v>0</v>
      </c>
      <c r="X110" s="4" t="str">
        <f t="shared" si="23"/>
        <v>No aplica</v>
      </c>
    </row>
    <row r="111" spans="1:24" ht="25.5">
      <c r="A111" s="5">
        <v>110</v>
      </c>
      <c r="B111" s="5" t="s">
        <v>826</v>
      </c>
      <c r="C111" s="5" t="s">
        <v>943</v>
      </c>
      <c r="D111" s="5" t="s">
        <v>944</v>
      </c>
      <c r="E111" s="5" t="s">
        <v>945</v>
      </c>
      <c r="F111" s="5" t="s">
        <v>821</v>
      </c>
      <c r="G111" s="5" t="s">
        <v>291</v>
      </c>
      <c r="H111" s="5" t="s">
        <v>821</v>
      </c>
      <c r="I111" s="5" t="s">
        <v>946</v>
      </c>
      <c r="J111" s="5" t="s">
        <v>1216</v>
      </c>
      <c r="K111" s="5" t="str">
        <f t="shared" si="18"/>
        <v>No aplica</v>
      </c>
      <c r="L111" s="5"/>
      <c r="M111" s="5" t="s">
        <v>826</v>
      </c>
      <c r="N111" s="5" t="s">
        <v>947</v>
      </c>
      <c r="O111" s="5" t="s">
        <v>65</v>
      </c>
      <c r="P111" s="5" t="s">
        <v>948</v>
      </c>
      <c r="Q111" s="5" t="s">
        <v>949</v>
      </c>
      <c r="R111" s="5" t="s">
        <v>36</v>
      </c>
      <c r="S111" s="5" t="s">
        <v>950</v>
      </c>
      <c r="T111" s="4" t="str">
        <f t="shared" si="19"/>
        <v>Sin acción</v>
      </c>
      <c r="U111" s="4" t="str">
        <f t="shared" si="20"/>
        <v>Documentar justificación de no aplicabilidad</v>
      </c>
      <c r="V111" s="4" t="str">
        <f t="shared" si="21"/>
        <v>No aplica</v>
      </c>
      <c r="W111" s="11">
        <f t="shared" si="22"/>
        <v>0</v>
      </c>
      <c r="X111" s="4" t="str">
        <f t="shared" si="23"/>
        <v>No aplica</v>
      </c>
    </row>
    <row r="112" spans="1:24" ht="38.25">
      <c r="A112" s="5">
        <v>111</v>
      </c>
      <c r="B112" s="5" t="s">
        <v>951</v>
      </c>
      <c r="C112" s="5" t="s">
        <v>952</v>
      </c>
      <c r="D112" s="5" t="s">
        <v>953</v>
      </c>
      <c r="E112" s="5" t="s">
        <v>954</v>
      </c>
      <c r="F112" s="5" t="s">
        <v>955</v>
      </c>
      <c r="G112" s="5" t="s">
        <v>291</v>
      </c>
      <c r="H112" s="5" t="s">
        <v>955</v>
      </c>
      <c r="I112" s="5" t="s">
        <v>956</v>
      </c>
      <c r="J112" s="5" t="s">
        <v>1199</v>
      </c>
      <c r="K112" s="5" t="str">
        <f t="shared" si="18"/>
        <v>Parcial</v>
      </c>
      <c r="L112" s="5"/>
      <c r="M112" s="5" t="s">
        <v>951</v>
      </c>
      <c r="N112" s="5" t="s">
        <v>957</v>
      </c>
      <c r="O112" s="5" t="s">
        <v>65</v>
      </c>
      <c r="P112" s="5" t="s">
        <v>45</v>
      </c>
      <c r="Q112" s="5" t="s">
        <v>958</v>
      </c>
      <c r="R112" s="5" t="s">
        <v>36</v>
      </c>
      <c r="S112" s="5" t="s">
        <v>959</v>
      </c>
      <c r="T112" s="4" t="str">
        <f t="shared" si="19"/>
        <v>Cerrar brecha parcial</v>
      </c>
      <c r="U112" s="4" t="str">
        <f t="shared" si="20"/>
        <v>Completar documentación/control y validar efectividad</v>
      </c>
      <c r="V112" s="4" t="str">
        <f t="shared" si="21"/>
        <v>31-75 días</v>
      </c>
      <c r="W112" s="11">
        <f t="shared" si="22"/>
        <v>1.5</v>
      </c>
      <c r="X112" s="4" t="str">
        <f t="shared" si="23"/>
        <v>Fase 5 - Canales y datos</v>
      </c>
    </row>
    <row r="113" spans="1:24" ht="28.5">
      <c r="A113" s="5">
        <v>112</v>
      </c>
      <c r="B113" s="5" t="s">
        <v>951</v>
      </c>
      <c r="C113" s="5" t="s">
        <v>960</v>
      </c>
      <c r="D113" s="5" t="s">
        <v>961</v>
      </c>
      <c r="E113" s="5" t="s">
        <v>962</v>
      </c>
      <c r="F113" s="5" t="s">
        <v>963</v>
      </c>
      <c r="G113" s="5" t="s">
        <v>291</v>
      </c>
      <c r="H113" s="5" t="s">
        <v>963</v>
      </c>
      <c r="I113" s="5" t="s">
        <v>964</v>
      </c>
      <c r="J113" s="5">
        <v>1</v>
      </c>
      <c r="K113" s="5" t="str">
        <f t="shared" si="18"/>
        <v>Cumple</v>
      </c>
      <c r="L113" s="5"/>
      <c r="M113" s="5" t="s">
        <v>951</v>
      </c>
      <c r="N113" s="5" t="s">
        <v>223</v>
      </c>
      <c r="O113" s="5" t="s">
        <v>65</v>
      </c>
      <c r="P113" s="5" t="s">
        <v>45</v>
      </c>
      <c r="Q113" s="5" t="s">
        <v>965</v>
      </c>
      <c r="R113" s="5" t="s">
        <v>36</v>
      </c>
      <c r="S113" s="5" t="s">
        <v>966</v>
      </c>
      <c r="T113" s="4" t="str">
        <f t="shared" si="19"/>
        <v>Mantener / evidenciar</v>
      </c>
      <c r="U113" s="4" t="str">
        <f t="shared" si="20"/>
        <v>Mantener evidencia y revisión periódica</v>
      </c>
      <c r="V113" s="4" t="str">
        <f t="shared" si="21"/>
        <v>Revisión periódica</v>
      </c>
      <c r="W113" s="11">
        <f t="shared" si="22"/>
        <v>0</v>
      </c>
      <c r="X113" s="4" t="str">
        <f t="shared" si="23"/>
        <v>Mantenimiento</v>
      </c>
    </row>
    <row r="114" spans="1:24" ht="25.5">
      <c r="A114" s="5">
        <v>113</v>
      </c>
      <c r="B114" s="5" t="s">
        <v>951</v>
      </c>
      <c r="C114" s="5" t="s">
        <v>967</v>
      </c>
      <c r="D114" s="5" t="s">
        <v>968</v>
      </c>
      <c r="E114" s="5" t="s">
        <v>969</v>
      </c>
      <c r="F114" s="5" t="s">
        <v>970</v>
      </c>
      <c r="G114" s="5" t="s">
        <v>291</v>
      </c>
      <c r="H114" s="5" t="s">
        <v>970</v>
      </c>
      <c r="I114" s="5" t="s">
        <v>971</v>
      </c>
      <c r="J114" s="5">
        <v>1</v>
      </c>
      <c r="K114" s="5" t="str">
        <f t="shared" si="18"/>
        <v>Cumple</v>
      </c>
      <c r="L114" s="5"/>
      <c r="M114" s="5" t="s">
        <v>951</v>
      </c>
      <c r="N114" s="5" t="s">
        <v>248</v>
      </c>
      <c r="O114" s="5" t="s">
        <v>65</v>
      </c>
      <c r="P114" s="5" t="s">
        <v>276</v>
      </c>
      <c r="Q114" s="5" t="s">
        <v>972</v>
      </c>
      <c r="R114" s="5" t="s">
        <v>36</v>
      </c>
      <c r="S114" s="5" t="s">
        <v>973</v>
      </c>
      <c r="T114" s="4" t="str">
        <f t="shared" si="19"/>
        <v>Mantener / evidenciar</v>
      </c>
      <c r="U114" s="4" t="str">
        <f t="shared" si="20"/>
        <v>Mantener evidencia y revisión periódica</v>
      </c>
      <c r="V114" s="4" t="str">
        <f t="shared" si="21"/>
        <v>Revisión periódica</v>
      </c>
      <c r="W114" s="11">
        <f t="shared" si="22"/>
        <v>0</v>
      </c>
      <c r="X114" s="4" t="str">
        <f t="shared" si="23"/>
        <v>Mantenimiento</v>
      </c>
    </row>
    <row r="115" spans="1:24" ht="38.25">
      <c r="A115" s="5">
        <v>114</v>
      </c>
      <c r="B115" s="5" t="s">
        <v>951</v>
      </c>
      <c r="C115" s="5" t="s">
        <v>974</v>
      </c>
      <c r="D115" s="5" t="s">
        <v>975</v>
      </c>
      <c r="E115" s="5" t="s">
        <v>976</v>
      </c>
      <c r="F115" s="5" t="s">
        <v>977</v>
      </c>
      <c r="G115" s="5" t="s">
        <v>29</v>
      </c>
      <c r="H115" s="5" t="s">
        <v>62</v>
      </c>
      <c r="I115" s="5" t="s">
        <v>978</v>
      </c>
      <c r="J115" s="5">
        <v>1</v>
      </c>
      <c r="K115" s="5" t="str">
        <f t="shared" si="18"/>
        <v>Cumple</v>
      </c>
      <c r="L115" s="5"/>
      <c r="M115" s="5" t="s">
        <v>951</v>
      </c>
      <c r="N115" s="5" t="s">
        <v>979</v>
      </c>
      <c r="O115" s="5" t="s">
        <v>33</v>
      </c>
      <c r="P115" s="5" t="s">
        <v>138</v>
      </c>
      <c r="Q115" s="5" t="s">
        <v>980</v>
      </c>
      <c r="R115" s="5" t="s">
        <v>36</v>
      </c>
      <c r="S115" s="5" t="s">
        <v>981</v>
      </c>
      <c r="T115" s="4" t="str">
        <f t="shared" si="19"/>
        <v>Mantener / evidenciar</v>
      </c>
      <c r="U115" s="4" t="str">
        <f t="shared" si="20"/>
        <v>Mantener evidencia y revisión periódica</v>
      </c>
      <c r="V115" s="4" t="str">
        <f t="shared" si="21"/>
        <v>Revisión periódica</v>
      </c>
      <c r="W115" s="11">
        <f t="shared" si="22"/>
        <v>0</v>
      </c>
      <c r="X115" s="4" t="str">
        <f t="shared" si="23"/>
        <v>Mantenimiento</v>
      </c>
    </row>
    <row r="116" spans="1:24" ht="38.25">
      <c r="A116" s="5">
        <v>115</v>
      </c>
      <c r="B116" s="5" t="s">
        <v>951</v>
      </c>
      <c r="C116" s="5" t="s">
        <v>982</v>
      </c>
      <c r="D116" s="5" t="s">
        <v>983</v>
      </c>
      <c r="E116" s="5" t="s">
        <v>984</v>
      </c>
      <c r="F116" s="5" t="s">
        <v>985</v>
      </c>
      <c r="G116" s="5" t="s">
        <v>29</v>
      </c>
      <c r="H116" s="5" t="s">
        <v>62</v>
      </c>
      <c r="I116" s="5" t="s">
        <v>986</v>
      </c>
      <c r="J116" s="5" t="s">
        <v>1199</v>
      </c>
      <c r="K116" s="5" t="str">
        <f t="shared" si="18"/>
        <v>Parcial</v>
      </c>
      <c r="L116" s="5"/>
      <c r="M116" s="5" t="s">
        <v>951</v>
      </c>
      <c r="N116" s="5" t="s">
        <v>987</v>
      </c>
      <c r="O116" s="5" t="s">
        <v>33</v>
      </c>
      <c r="P116" s="5" t="s">
        <v>988</v>
      </c>
      <c r="Q116" s="5" t="s">
        <v>989</v>
      </c>
      <c r="R116" s="5" t="s">
        <v>36</v>
      </c>
      <c r="S116" s="5" t="s">
        <v>990</v>
      </c>
      <c r="T116" s="4" t="str">
        <f t="shared" si="19"/>
        <v>Cerrar brecha parcial</v>
      </c>
      <c r="U116" s="4" t="str">
        <f t="shared" si="20"/>
        <v>Completar documentación/control y validar efectividad</v>
      </c>
      <c r="V116" s="4" t="str">
        <f t="shared" si="21"/>
        <v>0-45 días</v>
      </c>
      <c r="W116" s="11">
        <f t="shared" si="22"/>
        <v>2</v>
      </c>
      <c r="X116" s="4" t="str">
        <f t="shared" si="23"/>
        <v>Fase 5 - Canales y datos</v>
      </c>
    </row>
  </sheetData>
  <conditionalFormatting sqref="K2:K116">
    <cfRule type="expression" dxfId="7" priority="7">
      <formula>$K2="Cumple"</formula>
    </cfRule>
    <cfRule type="expression" dxfId="6" priority="8">
      <formula>$K2="Parcial"</formula>
    </cfRule>
    <cfRule type="expression" dxfId="5" priority="9">
      <formula>$K2="No cumple"</formula>
    </cfRule>
    <cfRule type="expression" dxfId="4" priority="10">
      <formula>$K2="Por evaluar"</formula>
    </cfRule>
    <cfRule type="expression" dxfId="3" priority="11">
      <formula>$K2="No aplica"</formula>
    </cfRule>
  </conditionalFormatting>
  <conditionalFormatting sqref="O2:O116">
    <cfRule type="expression" dxfId="2" priority="12">
      <formula>$O2="Alta"</formula>
    </cfRule>
    <cfRule type="expression" dxfId="1" priority="13">
      <formula>$O2="Media"</formula>
    </cfRule>
    <cfRule type="expression" dxfId="0" priority="14">
      <formula>$O2="Baja"</formula>
    </cfRule>
  </conditionalFormatting>
  <dataValidations count="3">
    <dataValidation type="list" sqref="G2:G116" xr:uid="{00000000-0002-0000-0000-000000000000}">
      <formula1>"SB,SEPS,Ambas"</formula1>
    </dataValidation>
    <dataValidation type="list" sqref="J2:J116" xr:uid="{00000000-0002-0000-0000-000001000000}">
      <formula1>"1,0.5,0,N/A"</formula1>
    </dataValidation>
    <dataValidation type="list" sqref="O2:O116" xr:uid="{00000000-0002-0000-0000-000002000000}">
      <formula1>"Alta,Media,Baja"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0"/>
  <sheetViews>
    <sheetView workbookViewId="0">
      <selection sqref="A1:E1"/>
    </sheetView>
  </sheetViews>
  <sheetFormatPr baseColWidth="10" defaultColWidth="9" defaultRowHeight="14.25"/>
  <cols>
    <col min="1" max="2" width="32" customWidth="1"/>
    <col min="4" max="4" width="28" customWidth="1"/>
    <col min="5" max="5" width="14" customWidth="1"/>
  </cols>
  <sheetData>
    <row r="1" spans="1:5" ht="15.75">
      <c r="A1" s="15" t="s">
        <v>991</v>
      </c>
      <c r="B1" s="16"/>
      <c r="C1" s="16"/>
      <c r="D1" s="16"/>
      <c r="E1" s="16"/>
    </row>
    <row r="2" spans="1:5">
      <c r="A2" s="2" t="s">
        <v>992</v>
      </c>
      <c r="B2" s="2" t="s">
        <v>993</v>
      </c>
      <c r="C2" s="2"/>
      <c r="D2" s="2"/>
      <c r="E2" s="2"/>
    </row>
    <row r="3" spans="1:5" ht="57">
      <c r="A3" s="2" t="s">
        <v>994</v>
      </c>
      <c r="B3" s="2" t="s">
        <v>995</v>
      </c>
      <c r="C3" s="2"/>
      <c r="D3" s="2"/>
      <c r="E3" s="2"/>
    </row>
    <row r="4" spans="1:5" ht="42.75">
      <c r="A4" s="2" t="s">
        <v>996</v>
      </c>
      <c r="B4" s="2" t="s">
        <v>997</v>
      </c>
      <c r="C4" s="2"/>
      <c r="D4" s="2"/>
      <c r="E4" s="2"/>
    </row>
    <row r="5" spans="1:5">
      <c r="A5" s="2"/>
      <c r="B5" s="2"/>
      <c r="C5" s="2"/>
      <c r="D5" s="2"/>
      <c r="E5" s="2"/>
    </row>
    <row r="6" spans="1:5" ht="15">
      <c r="A6" s="1" t="s">
        <v>998</v>
      </c>
      <c r="B6" s="1" t="s">
        <v>999</v>
      </c>
      <c r="C6" s="2"/>
      <c r="D6" s="1" t="s">
        <v>1</v>
      </c>
      <c r="E6" s="1" t="s">
        <v>1000</v>
      </c>
    </row>
    <row r="7" spans="1:5">
      <c r="A7" s="2" t="s">
        <v>1001</v>
      </c>
      <c r="B7" s="2">
        <f>COUNTA(Matriz_DD_Unificada!A2:A116)</f>
        <v>115</v>
      </c>
      <c r="C7" s="2"/>
      <c r="D7" s="2" t="s">
        <v>404</v>
      </c>
      <c r="E7" s="2">
        <f>COUNTIF(Matriz_DD_Unificada!B2:B116,"Accesos")</f>
        <v>4</v>
      </c>
    </row>
    <row r="8" spans="1:5">
      <c r="A8" s="2" t="s">
        <v>1002</v>
      </c>
      <c r="B8" s="2">
        <f>COUNTIF(Matriz_DD_Unificada!K2:K116,"Cumple")</f>
        <v>20</v>
      </c>
      <c r="C8" s="2"/>
      <c r="D8" s="2" t="s">
        <v>303</v>
      </c>
      <c r="E8" s="2">
        <f>COUNTIF(Matriz_DD_Unificada!B2:B116,"Activos e información")</f>
        <v>6</v>
      </c>
    </row>
    <row r="9" spans="1:5">
      <c r="A9" s="2" t="s">
        <v>1003</v>
      </c>
      <c r="B9" s="2">
        <f>COUNTIF(Matriz_DD_Unificada!K2:K116,"Parcial")</f>
        <v>38</v>
      </c>
      <c r="C9" s="2"/>
      <c r="D9" s="2" t="s">
        <v>826</v>
      </c>
      <c r="E9" s="2">
        <f>COUNTIF(Matriz_DD_Unificada!B2:B116,"Canales electrónicos")</f>
        <v>16</v>
      </c>
    </row>
    <row r="10" spans="1:5">
      <c r="A10" s="2" t="s">
        <v>1004</v>
      </c>
      <c r="B10" s="2">
        <f>COUNTIF(Matriz_DD_Unificada!K2:K116,"No cumple")</f>
        <v>40</v>
      </c>
      <c r="C10" s="2"/>
      <c r="D10" s="2" t="s">
        <v>631</v>
      </c>
      <c r="E10" s="2">
        <f>COUNTIF(Matriz_DD_Unificada!B2:B116,"Ciberseguridad")</f>
        <v>3</v>
      </c>
    </row>
    <row r="11" spans="1:5">
      <c r="A11" s="2" t="s">
        <v>1005</v>
      </c>
      <c r="B11" s="2">
        <f>COUNTIF(Matriz_DD_Unificada!K2:K116,"No aplica")</f>
        <v>17</v>
      </c>
      <c r="C11" s="2"/>
      <c r="D11" s="2" t="s">
        <v>795</v>
      </c>
      <c r="E11" s="2">
        <f>COUNTIF(Matriz_DD_Unificada!B2:B116,"Cifrado y datos")</f>
        <v>4</v>
      </c>
    </row>
    <row r="12" spans="1:5">
      <c r="A12" s="2" t="s">
        <v>1006</v>
      </c>
      <c r="B12" s="2">
        <f>COUNTIF(Matriz_DD_Unificada!K2:K116,"Por evaluar")</f>
        <v>0</v>
      </c>
      <c r="C12" s="2"/>
      <c r="D12" s="2" t="s">
        <v>24</v>
      </c>
      <c r="E12" s="2">
        <f>COUNTIF(Matriz_DD_Unificada!B2:B116,"Contexto y alcance")</f>
        <v>4</v>
      </c>
    </row>
    <row r="13" spans="1:5">
      <c r="A13" s="2" t="s">
        <v>1007</v>
      </c>
      <c r="B13" s="6">
        <f>IFERROR(SUM(Matriz_DD_Unificada!J2:J116)/(COUNTIF(Matriz_DD_Unificada!J2:J116,1)+COUNTIF(Matriz_DD_Unificada!J2:J116,0.5)+COUNTIF(Matriz_DD_Unificada!J2:J116,0)),0)</f>
        <v>0.33333333333333331</v>
      </c>
      <c r="C13" s="2"/>
      <c r="D13" s="2" t="s">
        <v>655</v>
      </c>
      <c r="E13" s="2">
        <f>COUNTIF(Matriz_DD_Unificada!B2:B116,"Continuidad")</f>
        <v>6</v>
      </c>
    </row>
    <row r="14" spans="1:5">
      <c r="A14" s="2"/>
      <c r="B14" s="2"/>
      <c r="C14" s="2"/>
      <c r="D14" s="2" t="s">
        <v>951</v>
      </c>
      <c r="E14" s="2">
        <f>COUNTIF(Matriz_DD_Unificada!B2:B116,"Disposiciones")</f>
        <v>5</v>
      </c>
    </row>
    <row r="15" spans="1:5">
      <c r="A15" s="2" t="s">
        <v>1008</v>
      </c>
      <c r="B15" s="2"/>
      <c r="C15" s="2"/>
      <c r="D15" s="2" t="s">
        <v>68</v>
      </c>
      <c r="E15" s="2">
        <f>COUNTIF(Matriz_DD_Unificada!B2:B116,"Gobernanza")</f>
        <v>10</v>
      </c>
    </row>
    <row r="16" spans="1:5">
      <c r="A16" s="2" t="s">
        <v>291</v>
      </c>
      <c r="B16" s="2">
        <f>COUNTIF(Matriz_DD_Unificada!G2:G116,"SB")</f>
        <v>55</v>
      </c>
      <c r="C16" s="2"/>
      <c r="D16" s="2" t="s">
        <v>598</v>
      </c>
      <c r="E16" s="2">
        <f>COUNTIF(Matriz_DD_Unificada!B2:B116,"Incidentes")</f>
        <v>4</v>
      </c>
    </row>
    <row r="17" spans="1:5">
      <c r="A17" s="2" t="s">
        <v>217</v>
      </c>
      <c r="B17" s="2">
        <f>COUNTIF(Matriz_DD_Unificada!G2:G116,"SEPS")</f>
        <v>1</v>
      </c>
      <c r="C17" s="2"/>
      <c r="D17" s="2" t="s">
        <v>573</v>
      </c>
      <c r="E17" s="2">
        <f>COUNTIF(Matriz_DD_Unificada!B2:B116,"Monitoreo")</f>
        <v>3</v>
      </c>
    </row>
    <row r="18" spans="1:5">
      <c r="A18" s="2" t="s">
        <v>29</v>
      </c>
      <c r="B18" s="2">
        <f>COUNTIF(Matriz_DD_Unificada!G2:G116,"Ambas")</f>
        <v>59</v>
      </c>
      <c r="C18" s="2"/>
      <c r="D18" s="2" t="s">
        <v>371</v>
      </c>
      <c r="E18" s="2">
        <f>COUNTIF(Matriz_DD_Unificada!B2:B116,"Personas")</f>
        <v>4</v>
      </c>
    </row>
    <row r="19" spans="1:5">
      <c r="A19" s="2"/>
      <c r="B19" s="2"/>
      <c r="C19" s="2"/>
      <c r="D19" s="2" t="s">
        <v>354</v>
      </c>
      <c r="E19" s="2">
        <f>COUNTIF(Matriz_DD_Unificada!B2:B116,"Procesos")</f>
        <v>2</v>
      </c>
    </row>
    <row r="20" spans="1:5">
      <c r="A20" s="2"/>
      <c r="B20" s="2"/>
      <c r="C20" s="2"/>
      <c r="D20" s="2" t="s">
        <v>223</v>
      </c>
      <c r="E20" s="2">
        <f>COUNTIF(Matriz_DD_Unificada!B2:B116,"Riesgos")</f>
        <v>9</v>
      </c>
    </row>
    <row r="21" spans="1:5">
      <c r="A21" s="2"/>
      <c r="B21" s="2"/>
      <c r="C21" s="2"/>
      <c r="D21" s="2" t="s">
        <v>159</v>
      </c>
      <c r="E21" s="2">
        <f>COUNTIF(Matriz_DD_Unificada!B2:B116,"SGSI")</f>
        <v>7</v>
      </c>
    </row>
    <row r="22" spans="1:5">
      <c r="A22" s="2"/>
      <c r="B22" s="2"/>
      <c r="C22" s="2"/>
      <c r="D22" s="2" t="s">
        <v>434</v>
      </c>
      <c r="E22" s="2">
        <f>COUNTIF(Matriz_DD_Unificada!B2:B116,"Tecnología")</f>
        <v>13</v>
      </c>
    </row>
    <row r="23" spans="1:5">
      <c r="A23" s="2"/>
      <c r="B23" s="2"/>
      <c r="C23" s="2"/>
      <c r="D23" s="2" t="s">
        <v>704</v>
      </c>
      <c r="E23" s="2">
        <f>COUNTIF(Matriz_DD_Unificada!B2:B116,"Terceros")</f>
        <v>11</v>
      </c>
    </row>
    <row r="24" spans="1:5">
      <c r="A24" s="2"/>
      <c r="B24" s="2"/>
      <c r="C24" s="2"/>
      <c r="D24" s="2" t="s">
        <v>541</v>
      </c>
      <c r="E24" s="2">
        <f>COUNTIF(Matriz_DD_Unificada!B2:B116,"Vulnerabilidades")</f>
        <v>4</v>
      </c>
    </row>
    <row r="25" spans="1:5">
      <c r="A25" s="2"/>
      <c r="B25" s="2"/>
      <c r="C25" s="2"/>
      <c r="D25" s="2"/>
      <c r="E25" s="2"/>
    </row>
    <row r="26" spans="1:5">
      <c r="A26" s="2"/>
      <c r="B26" s="2"/>
      <c r="C26" s="2"/>
      <c r="D26" s="2"/>
      <c r="E26" s="2"/>
    </row>
    <row r="27" spans="1:5">
      <c r="A27" s="2"/>
      <c r="B27" s="2"/>
      <c r="C27" s="2"/>
      <c r="D27" s="2"/>
      <c r="E27" s="2"/>
    </row>
    <row r="28" spans="1:5">
      <c r="A28" s="2"/>
      <c r="B28" s="2"/>
      <c r="C28" s="2"/>
      <c r="D28" s="2"/>
      <c r="E28" s="2"/>
    </row>
    <row r="29" spans="1:5">
      <c r="A29" s="2"/>
      <c r="B29" s="2"/>
      <c r="C29" s="2"/>
      <c r="D29" s="2"/>
      <c r="E29" s="2"/>
    </row>
    <row r="30" spans="1:5">
      <c r="A30" s="2"/>
      <c r="B30" s="2"/>
      <c r="C30" s="2"/>
      <c r="D30" s="2"/>
      <c r="E30" s="2"/>
    </row>
    <row r="31" spans="1:5">
      <c r="A31" s="2"/>
      <c r="B31" s="2"/>
      <c r="C31" s="2"/>
      <c r="D31" s="2"/>
      <c r="E31" s="2"/>
    </row>
    <row r="32" spans="1:5">
      <c r="A32" s="2"/>
      <c r="B32" s="2"/>
      <c r="C32" s="2"/>
      <c r="D32" s="2"/>
      <c r="E32" s="2"/>
    </row>
    <row r="33" spans="1:5">
      <c r="A33" s="2"/>
      <c r="B33" s="2"/>
      <c r="C33" s="2"/>
      <c r="D33" s="2"/>
      <c r="E33" s="2"/>
    </row>
    <row r="34" spans="1:5">
      <c r="A34" s="2"/>
      <c r="B34" s="2"/>
      <c r="C34" s="2"/>
      <c r="D34" s="2"/>
      <c r="E34" s="2"/>
    </row>
    <row r="35" spans="1:5">
      <c r="A35" s="2"/>
      <c r="B35" s="2"/>
      <c r="C35" s="2"/>
      <c r="D35" s="2"/>
      <c r="E35" s="2"/>
    </row>
    <row r="36" spans="1:5">
      <c r="A36" s="2"/>
      <c r="B36" s="2"/>
      <c r="C36" s="2"/>
      <c r="D36" s="2"/>
      <c r="E36" s="2"/>
    </row>
    <row r="37" spans="1:5">
      <c r="A37" s="2"/>
      <c r="B37" s="2"/>
      <c r="C37" s="2"/>
      <c r="D37" s="2"/>
      <c r="E37" s="2"/>
    </row>
    <row r="38" spans="1:5">
      <c r="A38" s="2"/>
      <c r="B38" s="2"/>
      <c r="C38" s="2"/>
      <c r="D38" s="2"/>
      <c r="E38" s="2"/>
    </row>
    <row r="39" spans="1:5">
      <c r="A39" s="2"/>
      <c r="B39" s="2"/>
      <c r="C39" s="2"/>
      <c r="D39" s="2"/>
      <c r="E39" s="2"/>
    </row>
    <row r="40" spans="1:5">
      <c r="A40" s="2"/>
      <c r="B40" s="2"/>
      <c r="C40" s="2"/>
      <c r="D40" s="2"/>
      <c r="E40" s="2"/>
    </row>
  </sheetData>
  <mergeCells count="1">
    <mergeCell ref="A1:E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0"/>
  <sheetViews>
    <sheetView workbookViewId="0"/>
  </sheetViews>
  <sheetFormatPr baseColWidth="10" defaultColWidth="9" defaultRowHeight="14.25"/>
  <cols>
    <col min="1" max="1" width="32" customWidth="1"/>
    <col min="2" max="2" width="105" customWidth="1"/>
  </cols>
  <sheetData>
    <row r="1" spans="1:2" ht="15">
      <c r="A1" s="1" t="s">
        <v>1009</v>
      </c>
      <c r="B1" s="1" t="s">
        <v>1010</v>
      </c>
    </row>
    <row r="2" spans="1:2" ht="28.5">
      <c r="A2" s="2" t="s">
        <v>1011</v>
      </c>
      <c r="B2" s="2" t="s">
        <v>1012</v>
      </c>
    </row>
    <row r="3" spans="1:2">
      <c r="A3" s="2" t="s">
        <v>10</v>
      </c>
      <c r="B3" s="2" t="s">
        <v>1013</v>
      </c>
    </row>
    <row r="4" spans="1:2">
      <c r="A4" s="2" t="s">
        <v>11</v>
      </c>
      <c r="B4" s="2" t="s">
        <v>1014</v>
      </c>
    </row>
    <row r="5" spans="1:2">
      <c r="A5" s="2" t="s">
        <v>12</v>
      </c>
      <c r="B5" s="2" t="s">
        <v>1015</v>
      </c>
    </row>
    <row r="6" spans="1:2">
      <c r="A6" s="2" t="s">
        <v>15</v>
      </c>
      <c r="B6" s="2" t="s">
        <v>1016</v>
      </c>
    </row>
    <row r="7" spans="1:2" ht="28.5">
      <c r="A7" s="2" t="s">
        <v>17</v>
      </c>
      <c r="B7" s="2" t="s">
        <v>1017</v>
      </c>
    </row>
    <row r="8" spans="1:2" ht="28.5">
      <c r="A8" s="2" t="s">
        <v>1018</v>
      </c>
      <c r="B8" s="2" t="s">
        <v>1019</v>
      </c>
    </row>
    <row r="9" spans="1:2" ht="42.75">
      <c r="A9" s="7" t="s">
        <v>18</v>
      </c>
      <c r="B9" s="4" t="s">
        <v>1020</v>
      </c>
    </row>
    <row r="10" spans="1:2">
      <c r="A10" s="2"/>
      <c r="B10" s="2"/>
    </row>
    <row r="11" spans="1:2" ht="29.25">
      <c r="A11" s="13" t="s">
        <v>1021</v>
      </c>
      <c r="B11" s="2" t="s">
        <v>1022</v>
      </c>
    </row>
    <row r="12" spans="1:2" ht="15">
      <c r="A12" s="13" t="s">
        <v>1023</v>
      </c>
      <c r="B12" s="2" t="s">
        <v>1024</v>
      </c>
    </row>
    <row r="13" spans="1:2" ht="15">
      <c r="A13" s="13" t="s">
        <v>1025</v>
      </c>
      <c r="B13" s="2" t="s">
        <v>1026</v>
      </c>
    </row>
    <row r="14" spans="1:2" ht="15">
      <c r="A14" s="13" t="s">
        <v>1027</v>
      </c>
      <c r="B14" s="2" t="s">
        <v>1028</v>
      </c>
    </row>
    <row r="15" spans="1:2" ht="15">
      <c r="A15" s="13" t="s">
        <v>1029</v>
      </c>
      <c r="B15" s="2" t="s">
        <v>1030</v>
      </c>
    </row>
    <row r="16" spans="1:2" ht="29.25">
      <c r="A16" s="13" t="s">
        <v>1031</v>
      </c>
      <c r="B16" s="2" t="s">
        <v>1032</v>
      </c>
    </row>
    <row r="17" spans="1:2">
      <c r="A17" s="2"/>
      <c r="B17" s="2"/>
    </row>
    <row r="18" spans="1:2">
      <c r="A18" s="2"/>
      <c r="B18" s="2"/>
    </row>
    <row r="19" spans="1:2">
      <c r="A19" s="2"/>
      <c r="B19" s="2"/>
    </row>
    <row r="20" spans="1:2">
      <c r="A20" s="2"/>
      <c r="B2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0"/>
  <sheetViews>
    <sheetView workbookViewId="0">
      <selection activeCell="C34" sqref="C34"/>
    </sheetView>
  </sheetViews>
  <sheetFormatPr baseColWidth="10" defaultColWidth="9" defaultRowHeight="14.25"/>
  <cols>
    <col min="1" max="1" width="28" customWidth="1"/>
    <col min="2" max="2" width="70" customWidth="1"/>
    <col min="3" max="3" width="85" customWidth="1"/>
  </cols>
  <sheetData>
    <row r="1" spans="1:3" ht="15">
      <c r="A1" s="1" t="s">
        <v>1033</v>
      </c>
      <c r="B1" s="1" t="s">
        <v>1034</v>
      </c>
      <c r="C1" s="1" t="s">
        <v>1035</v>
      </c>
    </row>
    <row r="2" spans="1:3" ht="28.5">
      <c r="A2" s="2" t="s">
        <v>1036</v>
      </c>
      <c r="B2" s="2" t="s">
        <v>1037</v>
      </c>
      <c r="C2" s="2" t="s">
        <v>1038</v>
      </c>
    </row>
    <row r="3" spans="1:3" ht="28.5">
      <c r="A3" s="2" t="s">
        <v>1039</v>
      </c>
      <c r="B3" s="2" t="s">
        <v>1040</v>
      </c>
      <c r="C3" s="2" t="s">
        <v>1041</v>
      </c>
    </row>
    <row r="4" spans="1:3">
      <c r="A4" s="2" t="s">
        <v>1042</v>
      </c>
      <c r="B4" s="2" t="s">
        <v>1043</v>
      </c>
      <c r="C4" s="2" t="s">
        <v>1044</v>
      </c>
    </row>
    <row r="5" spans="1:3" ht="28.5">
      <c r="A5" s="2" t="s">
        <v>1045</v>
      </c>
      <c r="B5" s="2" t="s">
        <v>1046</v>
      </c>
      <c r="C5" s="2" t="s">
        <v>1047</v>
      </c>
    </row>
    <row r="6" spans="1:3" ht="28.5">
      <c r="A6" s="2" t="s">
        <v>1048</v>
      </c>
      <c r="B6" s="2" t="s">
        <v>1049</v>
      </c>
      <c r="C6" s="2" t="s">
        <v>1050</v>
      </c>
    </row>
    <row r="7" spans="1:3">
      <c r="A7" s="2"/>
      <c r="B7" s="2"/>
      <c r="C7" s="2"/>
    </row>
    <row r="8" spans="1:3">
      <c r="A8" s="2"/>
      <c r="B8" s="2"/>
      <c r="C8" s="2"/>
    </row>
    <row r="9" spans="1:3">
      <c r="A9" s="2"/>
      <c r="B9" s="2"/>
      <c r="C9" s="2"/>
    </row>
    <row r="10" spans="1:3">
      <c r="A10" s="2"/>
      <c r="B10" s="2"/>
      <c r="C10" s="2"/>
    </row>
    <row r="11" spans="1:3">
      <c r="A11" s="2"/>
      <c r="B11" s="2"/>
      <c r="C11" s="2"/>
    </row>
    <row r="12" spans="1:3">
      <c r="A12" s="2"/>
      <c r="B12" s="2"/>
      <c r="C12" s="2"/>
    </row>
    <row r="13" spans="1:3">
      <c r="A13" s="2"/>
      <c r="B13" s="2"/>
      <c r="C13" s="2"/>
    </row>
    <row r="14" spans="1:3">
      <c r="A14" s="2"/>
      <c r="B14" s="2"/>
      <c r="C14" s="2"/>
    </row>
    <row r="15" spans="1:3">
      <c r="A15" s="2"/>
      <c r="B15" s="2"/>
      <c r="C15" s="2"/>
    </row>
    <row r="16" spans="1:3">
      <c r="A16" s="2"/>
      <c r="B16" s="2"/>
      <c r="C16" s="2"/>
    </row>
    <row r="17" spans="1:3">
      <c r="A17" s="2"/>
      <c r="B17" s="2"/>
      <c r="C17" s="2"/>
    </row>
    <row r="18" spans="1:3">
      <c r="A18" s="2"/>
      <c r="B18" s="2"/>
      <c r="C18" s="2"/>
    </row>
    <row r="19" spans="1:3">
      <c r="A19" s="2"/>
      <c r="B19" s="2"/>
      <c r="C19" s="2"/>
    </row>
    <row r="20" spans="1:3">
      <c r="A20" s="2"/>
      <c r="B20" s="2"/>
      <c r="C2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0"/>
  <sheetViews>
    <sheetView workbookViewId="0"/>
  </sheetViews>
  <sheetFormatPr baseColWidth="10" defaultColWidth="9" defaultRowHeight="14.25"/>
  <cols>
    <col min="1" max="1" width="22" customWidth="1"/>
    <col min="2" max="2" width="70" customWidth="1"/>
    <col min="3" max="3" width="105" customWidth="1"/>
  </cols>
  <sheetData>
    <row r="1" spans="1:3" ht="15">
      <c r="A1" s="1" t="s">
        <v>6</v>
      </c>
      <c r="B1" s="1" t="s">
        <v>1051</v>
      </c>
      <c r="C1" s="1" t="s">
        <v>1052</v>
      </c>
    </row>
    <row r="2" spans="1:3" ht="28.5">
      <c r="A2" s="2" t="s">
        <v>217</v>
      </c>
      <c r="B2" s="2" t="s">
        <v>1053</v>
      </c>
      <c r="C2" s="2" t="s">
        <v>1054</v>
      </c>
    </row>
    <row r="3" spans="1:3" ht="28.5">
      <c r="A3" s="2" t="s">
        <v>291</v>
      </c>
      <c r="B3" s="2" t="s">
        <v>1055</v>
      </c>
      <c r="C3" s="2" t="s">
        <v>1056</v>
      </c>
    </row>
    <row r="4" spans="1:3">
      <c r="A4" s="2" t="s">
        <v>1057</v>
      </c>
      <c r="B4" s="2" t="s">
        <v>1058</v>
      </c>
      <c r="C4" s="2" t="s">
        <v>1059</v>
      </c>
    </row>
    <row r="5" spans="1:3" ht="29.25">
      <c r="A5" s="8" t="s">
        <v>1060</v>
      </c>
      <c r="B5" s="2" t="s">
        <v>1061</v>
      </c>
      <c r="C5" s="2" t="s">
        <v>1062</v>
      </c>
    </row>
    <row r="6" spans="1:3">
      <c r="A6" s="2"/>
      <c r="B6" s="2"/>
      <c r="C6" s="2"/>
    </row>
    <row r="7" spans="1:3">
      <c r="A7" s="2"/>
      <c r="B7" s="2"/>
      <c r="C7" s="2"/>
    </row>
    <row r="8" spans="1:3">
      <c r="A8" s="2"/>
      <c r="B8" s="2"/>
      <c r="C8" s="2"/>
    </row>
    <row r="9" spans="1:3">
      <c r="A9" s="2"/>
      <c r="B9" s="2"/>
      <c r="C9" s="2"/>
    </row>
    <row r="10" spans="1:3">
      <c r="A10" s="2"/>
      <c r="B10" s="2"/>
      <c r="C10" s="2"/>
    </row>
    <row r="11" spans="1:3">
      <c r="A11" s="2"/>
      <c r="B11" s="2"/>
      <c r="C11" s="2"/>
    </row>
    <row r="12" spans="1:3">
      <c r="A12" s="2"/>
      <c r="B12" s="2"/>
      <c r="C12" s="2"/>
    </row>
    <row r="13" spans="1:3">
      <c r="A13" s="2"/>
      <c r="B13" s="2"/>
      <c r="C13" s="2"/>
    </row>
    <row r="14" spans="1:3">
      <c r="A14" s="2"/>
      <c r="B14" s="2"/>
      <c r="C14" s="2"/>
    </row>
    <row r="15" spans="1:3">
      <c r="A15" s="2"/>
      <c r="B15" s="2"/>
      <c r="C15" s="2"/>
    </row>
    <row r="16" spans="1:3">
      <c r="A16" s="2"/>
      <c r="B16" s="2"/>
      <c r="C16" s="2"/>
    </row>
    <row r="17" spans="1:3">
      <c r="A17" s="2"/>
      <c r="B17" s="2"/>
      <c r="C17" s="2"/>
    </row>
    <row r="18" spans="1:3">
      <c r="A18" s="2"/>
      <c r="B18" s="2"/>
      <c r="C18" s="2"/>
    </row>
    <row r="19" spans="1:3">
      <c r="A19" s="2"/>
      <c r="B19" s="2"/>
      <c r="C19" s="2"/>
    </row>
    <row r="20" spans="1:3">
      <c r="A20" s="2"/>
      <c r="B20" s="2"/>
      <c r="C20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60"/>
  <sheetViews>
    <sheetView topLeftCell="A12" workbookViewId="0">
      <selection activeCell="J19" sqref="J19:J36"/>
    </sheetView>
  </sheetViews>
  <sheetFormatPr baseColWidth="10" defaultColWidth="9" defaultRowHeight="14.25"/>
  <cols>
    <col min="1" max="1" width="30" customWidth="1"/>
    <col min="2" max="12" width="13" customWidth="1"/>
    <col min="14" max="14" width="35" customWidth="1"/>
    <col min="15" max="19" width="13" customWidth="1"/>
  </cols>
  <sheetData>
    <row r="1" spans="1:19">
      <c r="A1" s="17" t="s">
        <v>1063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4"/>
      <c r="M1" s="4"/>
      <c r="N1" s="4"/>
      <c r="O1" s="4"/>
      <c r="P1" s="4"/>
      <c r="Q1" s="4"/>
      <c r="R1" s="4"/>
      <c r="S1" s="4"/>
    </row>
    <row r="2" spans="1:19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1:19" ht="15">
      <c r="A3" s="9" t="s">
        <v>998</v>
      </c>
      <c r="B3" s="9" t="s">
        <v>999</v>
      </c>
      <c r="C3" s="4"/>
      <c r="D3" s="9" t="s">
        <v>1064</v>
      </c>
      <c r="E3" s="9" t="s">
        <v>1000</v>
      </c>
      <c r="F3" s="4"/>
      <c r="G3" s="9" t="s">
        <v>6</v>
      </c>
      <c r="H3" s="9" t="s">
        <v>1065</v>
      </c>
      <c r="I3" s="9" t="s">
        <v>1002</v>
      </c>
      <c r="J3" s="9" t="s">
        <v>1003</v>
      </c>
      <c r="K3" s="9" t="s">
        <v>1004</v>
      </c>
      <c r="L3" s="9" t="s">
        <v>1006</v>
      </c>
      <c r="M3" s="4"/>
      <c r="N3" s="9" t="s">
        <v>14</v>
      </c>
      <c r="O3" s="9" t="s">
        <v>1065</v>
      </c>
      <c r="P3" s="9" t="s">
        <v>1002</v>
      </c>
      <c r="Q3" s="9" t="s">
        <v>1003</v>
      </c>
      <c r="R3" s="9" t="s">
        <v>1004</v>
      </c>
      <c r="S3" s="9" t="s">
        <v>1006</v>
      </c>
    </row>
    <row r="4" spans="1:19">
      <c r="A4" s="4" t="s">
        <v>1066</v>
      </c>
      <c r="B4" s="4">
        <f>COUNTA(Matriz_DD_Unificada!$A$2:$A$116)</f>
        <v>115</v>
      </c>
      <c r="C4" s="4"/>
      <c r="D4" s="4" t="s">
        <v>1002</v>
      </c>
      <c r="E4" s="4">
        <f>COUNTIF(Matriz_DD_Unificada!$K$2:$K$116,"Cumple")</f>
        <v>20</v>
      </c>
      <c r="F4" s="4"/>
      <c r="G4" s="4" t="s">
        <v>29</v>
      </c>
      <c r="H4" s="4">
        <f>COUNTIF(Matriz_DD_Unificada!$G$2:$G$116,"Ambas")</f>
        <v>59</v>
      </c>
      <c r="I4" s="4">
        <f>COUNTIFS(Matriz_DD_Unificada!$G$2:$G$116,"Ambas",Matriz_DD_Unificada!$K$2:$K$116,"Cumple")</f>
        <v>15</v>
      </c>
      <c r="J4" s="4">
        <f>COUNTIFS(Matriz_DD_Unificada!$G$2:$G$116,"Ambas",Matriz_DD_Unificada!$K$2:$K$116,"Parcial")</f>
        <v>27</v>
      </c>
      <c r="K4" s="4">
        <f>COUNTIFS(Matriz_DD_Unificada!$G$2:$G$116,"Ambas",Matriz_DD_Unificada!$K$2:$K$116,"No cumple")</f>
        <v>17</v>
      </c>
      <c r="L4" s="4">
        <f>COUNTIFS(Matriz_DD_Unificada!$G$2:$G$116,"Ambas",Matriz_DD_Unificada!$K$2:$K$116,"Por evaluar")</f>
        <v>0</v>
      </c>
      <c r="M4" s="4"/>
      <c r="N4" s="4" t="s">
        <v>33</v>
      </c>
      <c r="O4" s="4">
        <f>COUNTIF(Matriz_DD_Unificada!$O$2:$O$116,"Alta")</f>
        <v>95</v>
      </c>
      <c r="P4" s="4">
        <f>COUNTIFS(Matriz_DD_Unificada!$O$2:$O$116,"Alta",Matriz_DD_Unificada!$K$2:$K$116,"Cumple")</f>
        <v>15</v>
      </c>
      <c r="Q4" s="4">
        <f>COUNTIFS(Matriz_DD_Unificada!$O$2:$O$116,"Alta",Matriz_DD_Unificada!$K$2:$K$116,"Parcial")</f>
        <v>35</v>
      </c>
      <c r="R4" s="4">
        <f>COUNTIFS(Matriz_DD_Unificada!$O$2:$O$116,"Alta",Matriz_DD_Unificada!$K$2:$K$116,"No cumple")</f>
        <v>32</v>
      </c>
      <c r="S4" s="4">
        <f>COUNTIFS(Matriz_DD_Unificada!$O$2:$O$116,"Alta",Matriz_DD_Unificada!$K$2:$K$116,"Por evaluar")</f>
        <v>0</v>
      </c>
    </row>
    <row r="5" spans="1:19">
      <c r="A5" s="4" t="s">
        <v>1005</v>
      </c>
      <c r="B5" s="4">
        <f>COUNTIF(Matriz_DD_Unificada!$K$2:$K$116,"No aplica")</f>
        <v>17</v>
      </c>
      <c r="C5" s="4"/>
      <c r="D5" s="4" t="s">
        <v>1003</v>
      </c>
      <c r="E5" s="4">
        <f>COUNTIF(Matriz_DD_Unificada!$K$2:$K$116,"Parcial")</f>
        <v>38</v>
      </c>
      <c r="F5" s="4"/>
      <c r="G5" s="4" t="s">
        <v>291</v>
      </c>
      <c r="H5" s="4">
        <f>COUNTIF(Matriz_DD_Unificada!$G$2:$G$116,"SB")</f>
        <v>55</v>
      </c>
      <c r="I5" s="4">
        <f>COUNTIFS(Matriz_DD_Unificada!$G$2:$G$116,"SB",Matriz_DD_Unificada!$K$2:$K$116,"Cumple")</f>
        <v>5</v>
      </c>
      <c r="J5" s="4">
        <f>COUNTIFS(Matriz_DD_Unificada!$G$2:$G$116,"SB",Matriz_DD_Unificada!$K$2:$K$116,"Parcial")</f>
        <v>10</v>
      </c>
      <c r="K5" s="4">
        <f>COUNTIFS(Matriz_DD_Unificada!$G$2:$G$116,"SB",Matriz_DD_Unificada!$K$2:$K$116,"No cumple")</f>
        <v>23</v>
      </c>
      <c r="L5" s="4">
        <f>COUNTIFS(Matriz_DD_Unificada!$G$2:$G$116,"SB",Matriz_DD_Unificada!$K$2:$K$116,"Por evaluar")</f>
        <v>0</v>
      </c>
      <c r="M5" s="4"/>
      <c r="N5" s="4" t="s">
        <v>65</v>
      </c>
      <c r="O5" s="4">
        <f>COUNTIF(Matriz_DD_Unificada!$O$2:$O$116,"Media")</f>
        <v>20</v>
      </c>
      <c r="P5" s="4">
        <f>COUNTIFS(Matriz_DD_Unificada!$O$2:$O$116,"Media",Matriz_DD_Unificada!$K$2:$K$116,"Cumple")</f>
        <v>5</v>
      </c>
      <c r="Q5" s="4">
        <f>COUNTIFS(Matriz_DD_Unificada!$O$2:$O$116,"Media",Matriz_DD_Unificada!$K$2:$K$116,"Parcial")</f>
        <v>3</v>
      </c>
      <c r="R5" s="4">
        <f>COUNTIFS(Matriz_DD_Unificada!$O$2:$O$116,"Media",Matriz_DD_Unificada!$K$2:$K$116,"No cumple")</f>
        <v>8</v>
      </c>
      <c r="S5" s="4">
        <f>COUNTIFS(Matriz_DD_Unificada!$O$2:$O$116,"Media",Matriz_DD_Unificada!$K$2:$K$116,"Por evaluar")</f>
        <v>0</v>
      </c>
    </row>
    <row r="6" spans="1:19">
      <c r="A6" s="4" t="s">
        <v>1067</v>
      </c>
      <c r="B6" s="4">
        <f>B4-B5</f>
        <v>98</v>
      </c>
      <c r="C6" s="4"/>
      <c r="D6" s="4" t="s">
        <v>1004</v>
      </c>
      <c r="E6" s="4">
        <f>COUNTIF(Matriz_DD_Unificada!$K$2:$K$116,"No cumple")</f>
        <v>40</v>
      </c>
      <c r="F6" s="4"/>
      <c r="G6" s="4" t="s">
        <v>217</v>
      </c>
      <c r="H6" s="4">
        <f>COUNTIF(Matriz_DD_Unificada!$G$2:$G$116,"SEPS")</f>
        <v>1</v>
      </c>
      <c r="I6" s="4">
        <f>COUNTIFS(Matriz_DD_Unificada!$G$2:$G$116,"SEPS",Matriz_DD_Unificada!$K$2:$K$116,"Cumple")</f>
        <v>0</v>
      </c>
      <c r="J6" s="4">
        <f>COUNTIFS(Matriz_DD_Unificada!$G$2:$G$116,"SEPS",Matriz_DD_Unificada!$K$2:$K$116,"Parcial")</f>
        <v>1</v>
      </c>
      <c r="K6" s="4">
        <f>COUNTIFS(Matriz_DD_Unificada!$G$2:$G$116,"SEPS",Matriz_DD_Unificada!$K$2:$K$116,"No cumple")</f>
        <v>0</v>
      </c>
      <c r="L6" s="4">
        <f>COUNTIFS(Matriz_DD_Unificada!$G$2:$G$116,"SEPS",Matriz_DD_Unificada!$K$2:$K$116,"Por evaluar")</f>
        <v>0</v>
      </c>
      <c r="M6" s="4"/>
      <c r="N6" s="4" t="s">
        <v>1068</v>
      </c>
      <c r="O6" s="4">
        <f>COUNTIF(Matriz_DD_Unificada!$O$2:$O$116,"Baja")</f>
        <v>0</v>
      </c>
      <c r="P6" s="4">
        <f>COUNTIFS(Matriz_DD_Unificada!$O$2:$O$116,"Baja",Matriz_DD_Unificada!$K$2:$K$116,"Cumple")</f>
        <v>0</v>
      </c>
      <c r="Q6" s="4">
        <f>COUNTIFS(Matriz_DD_Unificada!$O$2:$O$116,"Baja",Matriz_DD_Unificada!$K$2:$K$116,"Parcial")</f>
        <v>0</v>
      </c>
      <c r="R6" s="4">
        <f>COUNTIFS(Matriz_DD_Unificada!$O$2:$O$116,"Baja",Matriz_DD_Unificada!$K$2:$K$116,"No cumple")</f>
        <v>0</v>
      </c>
      <c r="S6" s="4">
        <f>COUNTIFS(Matriz_DD_Unificada!$O$2:$O$116,"Baja",Matriz_DD_Unificada!$K$2:$K$116,"Por evaluar")</f>
        <v>0</v>
      </c>
    </row>
    <row r="7" spans="1:19">
      <c r="A7" s="4" t="s">
        <v>1069</v>
      </c>
      <c r="B7" s="4">
        <f>COUNTIF(Matriz_DD_Unificada!$K$2:$K$116,"Cumple")+COUNTIF(Matriz_DD_Unificada!$K$2:$K$116,"Parcial")+COUNTIF(Matriz_DD_Unificada!$K$2:$K$116,"No cumple")</f>
        <v>98</v>
      </c>
      <c r="C7" s="4"/>
      <c r="D7" s="4" t="s">
        <v>1005</v>
      </c>
      <c r="E7" s="4">
        <f>COUNTIF(Matriz_DD_Unificada!$K$2:$K$116,"No aplica")</f>
        <v>17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19">
      <c r="A8" s="4" t="s">
        <v>1070</v>
      </c>
      <c r="B8" s="4">
        <f>COUNTIF(Matriz_DD_Unificada!$K$2:$K$116,"Por evaluar")</f>
        <v>0</v>
      </c>
      <c r="C8" s="4"/>
      <c r="D8" s="4" t="s">
        <v>1006</v>
      </c>
      <c r="E8" s="4">
        <f>COUNTIF(Matriz_DD_Unificada!$K$2:$K$116,"Por evaluar")</f>
        <v>0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</row>
    <row r="9" spans="1:19">
      <c r="A9" s="4" t="s">
        <v>1071</v>
      </c>
      <c r="B9" s="12">
        <f>IF(B6=0,0,B7/B6)</f>
        <v>1</v>
      </c>
      <c r="C9" s="4"/>
      <c r="D9" s="4" t="s">
        <v>1072</v>
      </c>
      <c r="E9" s="4">
        <f>COUNTIF(Matriz_DD_Unificada!$K$2:$K$116,"Revisar valor")</f>
        <v>0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</row>
    <row r="10" spans="1:19">
      <c r="A10" s="4" t="s">
        <v>1073</v>
      </c>
      <c r="B10" s="12">
        <f>IF(B7=0,0,(COUNTIF(Matriz_DD_Unificada!$K$2:$K$116,"Cumple")+(0.5*COUNTIF(Matriz_DD_Unificada!$K$2:$K$116,"Parcial")))/B7)</f>
        <v>0.39795918367346939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</row>
    <row r="11" spans="1:19">
      <c r="A11" s="4" t="s">
        <v>1023</v>
      </c>
      <c r="B11" s="12">
        <f>IF(B6=0,0,(COUNTIF(Matriz_DD_Unificada!$K$2:$K$116,"Cumple")+(0.5*COUNTIF(Matriz_DD_Unificada!$K$2:$K$116,"Parcial")))/B6)</f>
        <v>0.39795918367346939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</row>
    <row r="12" spans="1:19">
      <c r="A12" s="4" t="s">
        <v>1074</v>
      </c>
      <c r="B12" s="4">
        <f>COUNTIF(Matriz_DD_Unificada!$K$2:$K$116,"Parcial")+COUNTIF(Matriz_DD_Unificada!$K$2:$K$116,"No cumple")</f>
        <v>78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</row>
    <row r="13" spans="1:19">
      <c r="A13" s="4" t="s">
        <v>1075</v>
      </c>
      <c r="B13" s="4">
        <f>COUNTIFS(Matriz_DD_Unificada!$K$2:$K$116,"Parcial",Matriz_DD_Unificada!$O$2:$O$116,"Alta")+COUNTIFS(Matriz_DD_Unificada!$K$2:$K$116,"No cumple",Matriz_DD_Unificada!$O$2:$O$116,"Alta")</f>
        <v>67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</row>
    <row r="14" spans="1:19">
      <c r="A14" s="4" t="s">
        <v>1076</v>
      </c>
      <c r="B14" s="4">
        <f>COUNTA(Matriz_DD_Unificada!$L$2:$L$116)</f>
        <v>0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</row>
    <row r="15" spans="1:19">
      <c r="A15" s="4" t="s">
        <v>1077</v>
      </c>
      <c r="B15" s="12" t="str">
        <f ca="1">IF(B6=0,0,B15/B6)</f>
        <v/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</row>
    <row r="16" spans="1:1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</row>
    <row r="17" spans="1:1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</row>
    <row r="18" spans="1:19" ht="30">
      <c r="A18" s="9" t="s">
        <v>1</v>
      </c>
      <c r="B18" s="9" t="s">
        <v>1065</v>
      </c>
      <c r="C18" s="9" t="s">
        <v>1002</v>
      </c>
      <c r="D18" s="9" t="s">
        <v>1003</v>
      </c>
      <c r="E18" s="9" t="s">
        <v>1004</v>
      </c>
      <c r="F18" s="9" t="s">
        <v>1005</v>
      </c>
      <c r="G18" s="9" t="s">
        <v>1006</v>
      </c>
      <c r="H18" s="9" t="s">
        <v>1069</v>
      </c>
      <c r="I18" s="9" t="s">
        <v>1071</v>
      </c>
      <c r="J18" s="9" t="s">
        <v>1078</v>
      </c>
      <c r="K18" s="9" t="s">
        <v>1079</v>
      </c>
      <c r="L18" s="9" t="s">
        <v>1080</v>
      </c>
      <c r="M18" s="4"/>
      <c r="N18" s="9" t="s">
        <v>1081</v>
      </c>
      <c r="O18" s="9" t="s">
        <v>1065</v>
      </c>
      <c r="P18" s="9" t="s">
        <v>1002</v>
      </c>
      <c r="Q18" s="9" t="s">
        <v>1003</v>
      </c>
      <c r="R18" s="9" t="s">
        <v>1004</v>
      </c>
      <c r="S18" s="9" t="s">
        <v>1006</v>
      </c>
    </row>
    <row r="19" spans="1:19">
      <c r="A19" s="4" t="s">
        <v>404</v>
      </c>
      <c r="B19" s="4">
        <f>COUNTIF(Matriz_DD_Unificada!$B$2:$B$116,"Accesos")</f>
        <v>4</v>
      </c>
      <c r="C19" s="4">
        <f>COUNTIFS(Matriz_DD_Unificada!$B$2:$B$116,"Accesos",Matriz_DD_Unificada!$K$2:$K$116,"Cumple")</f>
        <v>0</v>
      </c>
      <c r="D19" s="4">
        <f>COUNTIFS(Matriz_DD_Unificada!$B$2:$B$116,"Accesos",Matriz_DD_Unificada!$K$2:$K$116,"Parcial")</f>
        <v>2</v>
      </c>
      <c r="E19" s="4">
        <f>COUNTIFS(Matriz_DD_Unificada!$B$2:$B$116,"Accesos",Matriz_DD_Unificada!$K$2:$K$116,"No cumple")</f>
        <v>2</v>
      </c>
      <c r="F19" s="4">
        <f>COUNTIFS(Matriz_DD_Unificada!$B$2:$B$116,"Accesos",Matriz_DD_Unificada!$K$2:$K$116,"No aplica")</f>
        <v>0</v>
      </c>
      <c r="G19" s="4">
        <f>COUNTIFS(Matriz_DD_Unificada!$B$2:$B$116,"Accesos",Matriz_DD_Unificada!$K$2:$K$116,"Por evaluar")</f>
        <v>0</v>
      </c>
      <c r="H19" s="4">
        <f t="shared" ref="H19:H36" si="0">C19+D19+E19</f>
        <v>4</v>
      </c>
      <c r="I19" s="12">
        <f t="shared" ref="I19:I36" si="1">IF(B19-F19=0,0,H19/(B19-F19))</f>
        <v>1</v>
      </c>
      <c r="J19" s="12">
        <f t="shared" ref="J19:J36" si="2">IF(H19=0,0,(C19+0.5*D19)/H19)</f>
        <v>0.25</v>
      </c>
      <c r="K19" s="4">
        <f t="shared" ref="K19:K36" si="3">D19+E19</f>
        <v>4</v>
      </c>
      <c r="L19" s="4">
        <f>COUNTIFS(Matriz_DD_Unificada!$B$2:$B$116,"Accesos",Matriz_DD_Unificada!$O$2:$O$116,"Alta",Matriz_DD_Unificada!$K$2:$K$116,"Parcial")+COUNTIFS(Matriz_DD_Unificada!$B$2:$B$116,"Accesos",Matriz_DD_Unificada!$O$2:$O$116,"Alta",Matriz_DD_Unificada!$K$2:$K$116,"No cumple")</f>
        <v>4</v>
      </c>
      <c r="M19" s="4"/>
      <c r="N19" s="4" t="s">
        <v>1082</v>
      </c>
      <c r="O19" s="4">
        <f>COUNTIF(Matriz_DD_Unificada!$X$2:$X$116,"Fase 0 - Evidencia/aplicabilidad")</f>
        <v>0</v>
      </c>
      <c r="P19" s="4">
        <f>COUNTIFS(Matriz_DD_Unificada!$X$2:$X$116,"Fase 0 - Evidencia/aplicabilidad",Matriz_DD_Unificada!$K$2:$K$116,"Cumple")</f>
        <v>0</v>
      </c>
      <c r="Q19" s="4">
        <f>COUNTIFS(Matriz_DD_Unificada!$X$2:$X$116,"Fase 0 - Evidencia/aplicabilidad",Matriz_DD_Unificada!$K$2:$K$116,"Parcial")</f>
        <v>0</v>
      </c>
      <c r="R19" s="4">
        <f>COUNTIFS(Matriz_DD_Unificada!$X$2:$X$116,"Fase 0 - Evidencia/aplicabilidad",Matriz_DD_Unificada!$K$2:$K$116,"No cumple")</f>
        <v>0</v>
      </c>
      <c r="S19" s="4">
        <f>COUNTIFS(Matriz_DD_Unificada!$X$2:$X$116,"Fase 0 - Evidencia/aplicabilidad",Matriz_DD_Unificada!$K$2:$K$116,"Por evaluar")</f>
        <v>0</v>
      </c>
    </row>
    <row r="20" spans="1:19">
      <c r="A20" s="4" t="s">
        <v>303</v>
      </c>
      <c r="B20" s="4">
        <f>COUNTIF(Matriz_DD_Unificada!$B$2:$B$116,"Activos e información")</f>
        <v>6</v>
      </c>
      <c r="C20" s="4">
        <f>COUNTIFS(Matriz_DD_Unificada!$B$2:$B$116,"Activos e información",Matriz_DD_Unificada!$K$2:$K$116,"Cumple")</f>
        <v>0</v>
      </c>
      <c r="D20" s="4">
        <f>COUNTIFS(Matriz_DD_Unificada!$B$2:$B$116,"Activos e información",Matriz_DD_Unificada!$K$2:$K$116,"Parcial")</f>
        <v>4</v>
      </c>
      <c r="E20" s="4">
        <f>COUNTIFS(Matriz_DD_Unificada!$B$2:$B$116,"Activos e información",Matriz_DD_Unificada!$K$2:$K$116,"No cumple")</f>
        <v>2</v>
      </c>
      <c r="F20" s="4">
        <f>COUNTIFS(Matriz_DD_Unificada!$B$2:$B$116,"Activos e información",Matriz_DD_Unificada!$K$2:$K$116,"No aplica")</f>
        <v>0</v>
      </c>
      <c r="G20" s="4">
        <f>COUNTIFS(Matriz_DD_Unificada!$B$2:$B$116,"Activos e información",Matriz_DD_Unificada!$K$2:$K$116,"Por evaluar")</f>
        <v>0</v>
      </c>
      <c r="H20" s="4">
        <f t="shared" si="0"/>
        <v>6</v>
      </c>
      <c r="I20" s="12">
        <f t="shared" si="1"/>
        <v>1</v>
      </c>
      <c r="J20" s="12">
        <f t="shared" si="2"/>
        <v>0.33333333333333331</v>
      </c>
      <c r="K20" s="4">
        <f t="shared" si="3"/>
        <v>6</v>
      </c>
      <c r="L20" s="4">
        <f>COUNTIFS(Matriz_DD_Unificada!$B$2:$B$116,"Activos e información",Matriz_DD_Unificada!$O$2:$O$116,"Alta",Matriz_DD_Unificada!$K$2:$K$116,"Parcial")+COUNTIFS(Matriz_DD_Unificada!$B$2:$B$116,"Activos e información",Matriz_DD_Unificada!$O$2:$O$116,"Alta",Matriz_DD_Unificada!$K$2:$K$116,"No cumple")</f>
        <v>5</v>
      </c>
      <c r="M20" s="4"/>
      <c r="N20" s="4" t="s">
        <v>1083</v>
      </c>
      <c r="O20" s="4">
        <f>COUNTIF(Matriz_DD_Unificada!$X$2:$X$116,"Fase 1 - Gobierno y SGSI")</f>
        <v>11</v>
      </c>
      <c r="P20" s="4">
        <f>COUNTIFS(Matriz_DD_Unificada!$X$2:$X$116,"Fase 1 - Gobierno y SGSI",Matriz_DD_Unificada!$K$2:$K$116,"Cumple")</f>
        <v>0</v>
      </c>
      <c r="Q20" s="4">
        <f>COUNTIFS(Matriz_DD_Unificada!$X$2:$X$116,"Fase 1 - Gobierno y SGSI",Matriz_DD_Unificada!$K$2:$K$116,"Parcial")</f>
        <v>8</v>
      </c>
      <c r="R20" s="4">
        <f>COUNTIFS(Matriz_DD_Unificada!$X$2:$X$116,"Fase 1 - Gobierno y SGSI",Matriz_DD_Unificada!$K$2:$K$116,"No cumple")</f>
        <v>3</v>
      </c>
      <c r="S20" s="4">
        <f>COUNTIFS(Matriz_DD_Unificada!$X$2:$X$116,"Fase 1 - Gobierno y SGSI",Matriz_DD_Unificada!$K$2:$K$116,"Por evaluar")</f>
        <v>0</v>
      </c>
    </row>
    <row r="21" spans="1:19">
      <c r="A21" s="4" t="s">
        <v>826</v>
      </c>
      <c r="B21" s="4">
        <f>COUNTIF(Matriz_DD_Unificada!$B$2:$B$116,"Canales electrónicos")</f>
        <v>16</v>
      </c>
      <c r="C21" s="4">
        <f>COUNTIFS(Matriz_DD_Unificada!$B$2:$B$116,"Canales electrónicos",Matriz_DD_Unificada!$K$2:$K$116,"Cumple")</f>
        <v>0</v>
      </c>
      <c r="D21" s="4">
        <f>COUNTIFS(Matriz_DD_Unificada!$B$2:$B$116,"Canales electrónicos",Matriz_DD_Unificada!$K$2:$K$116,"Parcial")</f>
        <v>0</v>
      </c>
      <c r="E21" s="4">
        <f>COUNTIFS(Matriz_DD_Unificada!$B$2:$B$116,"Canales electrónicos",Matriz_DD_Unificada!$K$2:$K$116,"No cumple")</f>
        <v>0</v>
      </c>
      <c r="F21" s="4">
        <f>COUNTIFS(Matriz_DD_Unificada!$B$2:$B$116,"Canales electrónicos",Matriz_DD_Unificada!$K$2:$K$116,"No aplica")</f>
        <v>16</v>
      </c>
      <c r="G21" s="4">
        <f>COUNTIFS(Matriz_DD_Unificada!$B$2:$B$116,"Canales electrónicos",Matriz_DD_Unificada!$K$2:$K$116,"Por evaluar")</f>
        <v>0</v>
      </c>
      <c r="H21" s="4">
        <f t="shared" si="0"/>
        <v>0</v>
      </c>
      <c r="I21" s="12">
        <f t="shared" si="1"/>
        <v>0</v>
      </c>
      <c r="J21" s="12">
        <f t="shared" si="2"/>
        <v>0</v>
      </c>
      <c r="K21" s="4">
        <f t="shared" si="3"/>
        <v>0</v>
      </c>
      <c r="L21" s="4">
        <f>COUNTIFS(Matriz_DD_Unificada!$B$2:$B$116,"Canales electrónicos",Matriz_DD_Unificada!$O$2:$O$116,"Alta",Matriz_DD_Unificada!$K$2:$K$116,"Parcial")+COUNTIFS(Matriz_DD_Unificada!$B$2:$B$116,"Canales electrónicos",Matriz_DD_Unificada!$O$2:$O$116,"Alta",Matriz_DD_Unificada!$K$2:$K$116,"No cumple")</f>
        <v>0</v>
      </c>
      <c r="M21" s="4"/>
      <c r="N21" s="4" t="s">
        <v>1084</v>
      </c>
      <c r="O21" s="4">
        <f>COUNTIF(Matriz_DD_Unificada!$X$2:$X$116,"Fase 2 - Riesgos y operación")</f>
        <v>12</v>
      </c>
      <c r="P21" s="4">
        <f>COUNTIFS(Matriz_DD_Unificada!$X$2:$X$116,"Fase 2 - Riesgos y operación",Matriz_DD_Unificada!$K$2:$K$116,"Cumple")</f>
        <v>0</v>
      </c>
      <c r="Q21" s="4">
        <f>COUNTIFS(Matriz_DD_Unificada!$X$2:$X$116,"Fase 2 - Riesgos y operación",Matriz_DD_Unificada!$K$2:$K$116,"Parcial")</f>
        <v>4</v>
      </c>
      <c r="R21" s="4">
        <f>COUNTIFS(Matriz_DD_Unificada!$X$2:$X$116,"Fase 2 - Riesgos y operación",Matriz_DD_Unificada!$K$2:$K$116,"No cumple")</f>
        <v>8</v>
      </c>
      <c r="S21" s="4">
        <f>COUNTIFS(Matriz_DD_Unificada!$X$2:$X$116,"Fase 2 - Riesgos y operación",Matriz_DD_Unificada!$K$2:$K$116,"Por evaluar")</f>
        <v>0</v>
      </c>
    </row>
    <row r="22" spans="1:19">
      <c r="A22" s="4" t="s">
        <v>631</v>
      </c>
      <c r="B22" s="4">
        <f>COUNTIF(Matriz_DD_Unificada!$B$2:$B$116,"Ciberseguridad")</f>
        <v>3</v>
      </c>
      <c r="C22" s="4">
        <f>COUNTIFS(Matriz_DD_Unificada!$B$2:$B$116,"Ciberseguridad",Matriz_DD_Unificada!$K$2:$K$116,"Cumple")</f>
        <v>2</v>
      </c>
      <c r="D22" s="4">
        <f>COUNTIFS(Matriz_DD_Unificada!$B$2:$B$116,"Ciberseguridad",Matriz_DD_Unificada!$K$2:$K$116,"Parcial")</f>
        <v>0</v>
      </c>
      <c r="E22" s="4">
        <f>COUNTIFS(Matriz_DD_Unificada!$B$2:$B$116,"Ciberseguridad",Matriz_DD_Unificada!$K$2:$K$116,"No cumple")</f>
        <v>1</v>
      </c>
      <c r="F22" s="4">
        <f>COUNTIFS(Matriz_DD_Unificada!$B$2:$B$116,"Ciberseguridad",Matriz_DD_Unificada!$K$2:$K$116,"No aplica")</f>
        <v>0</v>
      </c>
      <c r="G22" s="4">
        <f>COUNTIFS(Matriz_DD_Unificada!$B$2:$B$116,"Ciberseguridad",Matriz_DD_Unificada!$K$2:$K$116,"Por evaluar")</f>
        <v>0</v>
      </c>
      <c r="H22" s="4">
        <f t="shared" si="0"/>
        <v>3</v>
      </c>
      <c r="I22" s="12">
        <f t="shared" si="1"/>
        <v>1</v>
      </c>
      <c r="J22" s="12">
        <f t="shared" si="2"/>
        <v>0.66666666666666663</v>
      </c>
      <c r="K22" s="4">
        <f t="shared" si="3"/>
        <v>1</v>
      </c>
      <c r="L22" s="4">
        <f>COUNTIFS(Matriz_DD_Unificada!$B$2:$B$116,"Ciberseguridad",Matriz_DD_Unificada!$O$2:$O$116,"Alta",Matriz_DD_Unificada!$K$2:$K$116,"Parcial")+COUNTIFS(Matriz_DD_Unificada!$B$2:$B$116,"Ciberseguridad",Matriz_DD_Unificada!$O$2:$O$116,"Alta",Matriz_DD_Unificada!$K$2:$K$116,"No cumple")</f>
        <v>1</v>
      </c>
      <c r="M22" s="4"/>
      <c r="N22" s="4" t="s">
        <v>1085</v>
      </c>
      <c r="O22" s="4">
        <f>COUNTIF(Matriz_DD_Unificada!$X$2:$X$116,"Fase 3 - Continuidad y terceros")</f>
        <v>17</v>
      </c>
      <c r="P22" s="4">
        <f>COUNTIFS(Matriz_DD_Unificada!$X$2:$X$116,"Fase 3 - Continuidad y terceros",Matriz_DD_Unificada!$K$2:$K$116,"Cumple")</f>
        <v>0</v>
      </c>
      <c r="Q22" s="4">
        <f>COUNTIFS(Matriz_DD_Unificada!$X$2:$X$116,"Fase 3 - Continuidad y terceros",Matriz_DD_Unificada!$K$2:$K$116,"Parcial")</f>
        <v>4</v>
      </c>
      <c r="R22" s="4">
        <f>COUNTIFS(Matriz_DD_Unificada!$X$2:$X$116,"Fase 3 - Continuidad y terceros",Matriz_DD_Unificada!$K$2:$K$116,"No cumple")</f>
        <v>13</v>
      </c>
      <c r="S22" s="4">
        <f>COUNTIFS(Matriz_DD_Unificada!$X$2:$X$116,"Fase 3 - Continuidad y terceros",Matriz_DD_Unificada!$K$2:$K$116,"Por evaluar")</f>
        <v>0</v>
      </c>
    </row>
    <row r="23" spans="1:19">
      <c r="A23" s="4" t="s">
        <v>795</v>
      </c>
      <c r="B23" s="4">
        <f>COUNTIF(Matriz_DD_Unificada!$B$2:$B$116,"Cifrado y datos")</f>
        <v>4</v>
      </c>
      <c r="C23" s="4">
        <f>COUNTIFS(Matriz_DD_Unificada!$B$2:$B$116,"Cifrado y datos",Matriz_DD_Unificada!$K$2:$K$116,"Cumple")</f>
        <v>0</v>
      </c>
      <c r="D23" s="4">
        <f>COUNTIFS(Matriz_DD_Unificada!$B$2:$B$116,"Cifrado y datos",Matriz_DD_Unificada!$K$2:$K$116,"Parcial")</f>
        <v>2</v>
      </c>
      <c r="E23" s="4">
        <f>COUNTIFS(Matriz_DD_Unificada!$B$2:$B$116,"Cifrado y datos",Matriz_DD_Unificada!$K$2:$K$116,"No cumple")</f>
        <v>1</v>
      </c>
      <c r="F23" s="4">
        <f>COUNTIFS(Matriz_DD_Unificada!$B$2:$B$116,"Cifrado y datos",Matriz_DD_Unificada!$K$2:$K$116,"No aplica")</f>
        <v>1</v>
      </c>
      <c r="G23" s="4">
        <f>COUNTIFS(Matriz_DD_Unificada!$B$2:$B$116,"Cifrado y datos",Matriz_DD_Unificada!$K$2:$K$116,"Por evaluar")</f>
        <v>0</v>
      </c>
      <c r="H23" s="4">
        <f t="shared" si="0"/>
        <v>3</v>
      </c>
      <c r="I23" s="12">
        <f t="shared" si="1"/>
        <v>1</v>
      </c>
      <c r="J23" s="12">
        <f t="shared" si="2"/>
        <v>0.33333333333333331</v>
      </c>
      <c r="K23" s="4">
        <f t="shared" si="3"/>
        <v>3</v>
      </c>
      <c r="L23" s="4">
        <f>COUNTIFS(Matriz_DD_Unificada!$B$2:$B$116,"Cifrado y datos",Matriz_DD_Unificada!$O$2:$O$116,"Alta",Matriz_DD_Unificada!$K$2:$K$116,"Parcial")+COUNTIFS(Matriz_DD_Unificada!$B$2:$B$116,"Cifrado y datos",Matriz_DD_Unificada!$O$2:$O$116,"Alta",Matriz_DD_Unificada!$K$2:$K$116,"No cumple")</f>
        <v>3</v>
      </c>
      <c r="M23" s="4"/>
      <c r="N23" s="4" t="s">
        <v>1086</v>
      </c>
      <c r="O23" s="4">
        <f>COUNTIF(Matriz_DD_Unificada!$X$2:$X$116,"Fase 4 - Controles técnicos")</f>
        <v>27</v>
      </c>
      <c r="P23" s="4">
        <f>COUNTIFS(Matriz_DD_Unificada!$X$2:$X$116,"Fase 4 - Controles técnicos",Matriz_DD_Unificada!$K$2:$K$116,"Cumple")</f>
        <v>0</v>
      </c>
      <c r="Q23" s="4">
        <f>COUNTIFS(Matriz_DD_Unificada!$X$2:$X$116,"Fase 4 - Controles técnicos",Matriz_DD_Unificada!$K$2:$K$116,"Parcial")</f>
        <v>14</v>
      </c>
      <c r="R23" s="4">
        <f>COUNTIFS(Matriz_DD_Unificada!$X$2:$X$116,"Fase 4 - Controles técnicos",Matriz_DD_Unificada!$K$2:$K$116,"No cumple")</f>
        <v>13</v>
      </c>
      <c r="S23" s="4">
        <f>COUNTIFS(Matriz_DD_Unificada!$X$2:$X$116,"Fase 4 - Controles técnicos",Matriz_DD_Unificada!$K$2:$K$116,"Por evaluar")</f>
        <v>0</v>
      </c>
    </row>
    <row r="24" spans="1:19">
      <c r="A24" s="4" t="s">
        <v>24</v>
      </c>
      <c r="B24" s="4">
        <f>COUNTIF(Matriz_DD_Unificada!$B$2:$B$116,"Contexto y alcance")</f>
        <v>4</v>
      </c>
      <c r="C24" s="4">
        <f>COUNTIFS(Matriz_DD_Unificada!$B$2:$B$116,"Contexto y alcance",Matriz_DD_Unificada!$K$2:$K$116,"Cumple")</f>
        <v>3</v>
      </c>
      <c r="D24" s="4">
        <f>COUNTIFS(Matriz_DD_Unificada!$B$2:$B$116,"Contexto y alcance",Matriz_DD_Unificada!$K$2:$K$116,"Parcial")</f>
        <v>1</v>
      </c>
      <c r="E24" s="4">
        <f>COUNTIFS(Matriz_DD_Unificada!$B$2:$B$116,"Contexto y alcance",Matriz_DD_Unificada!$K$2:$K$116,"No cumple")</f>
        <v>0</v>
      </c>
      <c r="F24" s="4">
        <f>COUNTIFS(Matriz_DD_Unificada!$B$2:$B$116,"Contexto y alcance",Matriz_DD_Unificada!$K$2:$K$116,"No aplica")</f>
        <v>0</v>
      </c>
      <c r="G24" s="4">
        <f>COUNTIFS(Matriz_DD_Unificada!$B$2:$B$116,"Contexto y alcance",Matriz_DD_Unificada!$K$2:$K$116,"Por evaluar")</f>
        <v>0</v>
      </c>
      <c r="H24" s="4">
        <f t="shared" si="0"/>
        <v>4</v>
      </c>
      <c r="I24" s="12">
        <f t="shared" si="1"/>
        <v>1</v>
      </c>
      <c r="J24" s="12">
        <f t="shared" si="2"/>
        <v>0.875</v>
      </c>
      <c r="K24" s="4">
        <f t="shared" si="3"/>
        <v>1</v>
      </c>
      <c r="L24" s="4">
        <f>COUNTIFS(Matriz_DD_Unificada!$B$2:$B$116,"Contexto y alcance",Matriz_DD_Unificada!$O$2:$O$116,"Alta",Matriz_DD_Unificada!$K$2:$K$116,"Parcial")+COUNTIFS(Matriz_DD_Unificada!$B$2:$B$116,"Contexto y alcance",Matriz_DD_Unificada!$O$2:$O$116,"Alta",Matriz_DD_Unificada!$K$2:$K$116,"No cumple")</f>
        <v>1</v>
      </c>
      <c r="M24" s="4"/>
      <c r="N24" s="4" t="s">
        <v>1087</v>
      </c>
      <c r="O24" s="4">
        <f>COUNTIF(Matriz_DD_Unificada!$X$2:$X$116,"Fase 5 - Canales y datos")</f>
        <v>11</v>
      </c>
      <c r="P24" s="4">
        <f>COUNTIFS(Matriz_DD_Unificada!$X$2:$X$116,"Fase 5 - Canales y datos",Matriz_DD_Unificada!$K$2:$K$116,"Cumple")</f>
        <v>0</v>
      </c>
      <c r="Q24" s="4">
        <f>COUNTIFS(Matriz_DD_Unificada!$X$2:$X$116,"Fase 5 - Canales y datos",Matriz_DD_Unificada!$K$2:$K$116,"Parcial")</f>
        <v>8</v>
      </c>
      <c r="R24" s="4">
        <f>COUNTIFS(Matriz_DD_Unificada!$X$2:$X$116,"Fase 5 - Canales y datos",Matriz_DD_Unificada!$K$2:$K$116,"No cumple")</f>
        <v>3</v>
      </c>
      <c r="S24" s="4">
        <f>COUNTIFS(Matriz_DD_Unificada!$X$2:$X$116,"Fase 5 - Canales y datos",Matriz_DD_Unificada!$K$2:$K$116,"Por evaluar")</f>
        <v>0</v>
      </c>
    </row>
    <row r="25" spans="1:19">
      <c r="A25" s="4" t="s">
        <v>655</v>
      </c>
      <c r="B25" s="4">
        <f>COUNTIF(Matriz_DD_Unificada!$B$2:$B$116,"Continuidad")</f>
        <v>6</v>
      </c>
      <c r="C25" s="4">
        <f>COUNTIFS(Matriz_DD_Unificada!$B$2:$B$116,"Continuidad",Matriz_DD_Unificada!$K$2:$K$116,"Cumple")</f>
        <v>0</v>
      </c>
      <c r="D25" s="4">
        <f>COUNTIFS(Matriz_DD_Unificada!$B$2:$B$116,"Continuidad",Matriz_DD_Unificada!$K$2:$K$116,"Parcial")</f>
        <v>0</v>
      </c>
      <c r="E25" s="4">
        <f>COUNTIFS(Matriz_DD_Unificada!$B$2:$B$116,"Continuidad",Matriz_DD_Unificada!$K$2:$K$116,"No cumple")</f>
        <v>6</v>
      </c>
      <c r="F25" s="4">
        <f>COUNTIFS(Matriz_DD_Unificada!$B$2:$B$116,"Continuidad",Matriz_DD_Unificada!$K$2:$K$116,"No aplica")</f>
        <v>0</v>
      </c>
      <c r="G25" s="4">
        <f>COUNTIFS(Matriz_DD_Unificada!$B$2:$B$116,"Continuidad",Matriz_DD_Unificada!$K$2:$K$116,"Por evaluar")</f>
        <v>0</v>
      </c>
      <c r="H25" s="4">
        <f t="shared" si="0"/>
        <v>6</v>
      </c>
      <c r="I25" s="12">
        <f t="shared" si="1"/>
        <v>1</v>
      </c>
      <c r="J25" s="12">
        <f t="shared" si="2"/>
        <v>0</v>
      </c>
      <c r="K25" s="4">
        <f t="shared" si="3"/>
        <v>6</v>
      </c>
      <c r="L25" s="4">
        <f>COUNTIFS(Matriz_DD_Unificada!$B$2:$B$116,"Continuidad",Matriz_DD_Unificada!$O$2:$O$116,"Alta",Matriz_DD_Unificada!$K$2:$K$116,"Parcial")+COUNTIFS(Matriz_DD_Unificada!$B$2:$B$116,"Continuidad",Matriz_DD_Unificada!$O$2:$O$116,"Alta",Matriz_DD_Unificada!$K$2:$K$116,"No cumple")</f>
        <v>5</v>
      </c>
      <c r="M25" s="4"/>
      <c r="N25" s="4" t="s">
        <v>1088</v>
      </c>
      <c r="O25" s="4">
        <f>COUNTIF(Matriz_DD_Unificada!$X$2:$X$116,"Mantenimiento")</f>
        <v>20</v>
      </c>
      <c r="P25" s="4">
        <f>COUNTIFS(Matriz_DD_Unificada!$X$2:$X$116,"Mantenimiento",Matriz_DD_Unificada!$K$2:$K$116,"Cumple")</f>
        <v>20</v>
      </c>
      <c r="Q25" s="4">
        <f>COUNTIFS(Matriz_DD_Unificada!$X$2:$X$116,"Mantenimiento",Matriz_DD_Unificada!$K$2:$K$116,"Parcial")</f>
        <v>0</v>
      </c>
      <c r="R25" s="4">
        <f>COUNTIFS(Matriz_DD_Unificada!$X$2:$X$116,"Mantenimiento",Matriz_DD_Unificada!$K$2:$K$116,"No cumple")</f>
        <v>0</v>
      </c>
      <c r="S25" s="4">
        <f>COUNTIFS(Matriz_DD_Unificada!$X$2:$X$116,"Mantenimiento",Matriz_DD_Unificada!$K$2:$K$116,"Por evaluar")</f>
        <v>0</v>
      </c>
    </row>
    <row r="26" spans="1:19">
      <c r="A26" s="4" t="s">
        <v>951</v>
      </c>
      <c r="B26" s="4">
        <f>COUNTIF(Matriz_DD_Unificada!$B$2:$B$116,"Disposiciones")</f>
        <v>5</v>
      </c>
      <c r="C26" s="4">
        <f>COUNTIFS(Matriz_DD_Unificada!$B$2:$B$116,"Disposiciones",Matriz_DD_Unificada!$K$2:$K$116,"Cumple")</f>
        <v>3</v>
      </c>
      <c r="D26" s="4">
        <f>COUNTIFS(Matriz_DD_Unificada!$B$2:$B$116,"Disposiciones",Matriz_DD_Unificada!$K$2:$K$116,"Parcial")</f>
        <v>2</v>
      </c>
      <c r="E26" s="4">
        <f>COUNTIFS(Matriz_DD_Unificada!$B$2:$B$116,"Disposiciones",Matriz_DD_Unificada!$K$2:$K$116,"No cumple")</f>
        <v>0</v>
      </c>
      <c r="F26" s="4">
        <f>COUNTIFS(Matriz_DD_Unificada!$B$2:$B$116,"Disposiciones",Matriz_DD_Unificada!$K$2:$K$116,"No aplica")</f>
        <v>0</v>
      </c>
      <c r="G26" s="4">
        <f>COUNTIFS(Matriz_DD_Unificada!$B$2:$B$116,"Disposiciones",Matriz_DD_Unificada!$K$2:$K$116,"Por evaluar")</f>
        <v>0</v>
      </c>
      <c r="H26" s="4">
        <f t="shared" si="0"/>
        <v>5</v>
      </c>
      <c r="I26" s="12">
        <f t="shared" si="1"/>
        <v>1</v>
      </c>
      <c r="J26" s="12">
        <f t="shared" si="2"/>
        <v>0.8</v>
      </c>
      <c r="K26" s="4">
        <f t="shared" si="3"/>
        <v>2</v>
      </c>
      <c r="L26" s="4">
        <f>COUNTIFS(Matriz_DD_Unificada!$B$2:$B$116,"Disposiciones",Matriz_DD_Unificada!$O$2:$O$116,"Alta",Matriz_DD_Unificada!$K$2:$K$116,"Parcial")+COUNTIFS(Matriz_DD_Unificada!$B$2:$B$116,"Disposiciones",Matriz_DD_Unificada!$O$2:$O$116,"Alta",Matriz_DD_Unificada!$K$2:$K$116,"No cumple")</f>
        <v>1</v>
      </c>
      <c r="M26" s="4"/>
      <c r="N26" s="4" t="s">
        <v>1005</v>
      </c>
      <c r="O26" s="4">
        <f>COUNTIF(Matriz_DD_Unificada!$X$2:$X$116,"No aplica")</f>
        <v>17</v>
      </c>
      <c r="P26" s="4">
        <f>COUNTIFS(Matriz_DD_Unificada!$X$2:$X$116,"No aplica",Matriz_DD_Unificada!$K$2:$K$116,"Cumple")</f>
        <v>0</v>
      </c>
      <c r="Q26" s="4">
        <f>COUNTIFS(Matriz_DD_Unificada!$X$2:$X$116,"No aplica",Matriz_DD_Unificada!$K$2:$K$116,"Parcial")</f>
        <v>0</v>
      </c>
      <c r="R26" s="4">
        <f>COUNTIFS(Matriz_DD_Unificada!$X$2:$X$116,"No aplica",Matriz_DD_Unificada!$K$2:$K$116,"No cumple")</f>
        <v>0</v>
      </c>
      <c r="S26" s="4">
        <f>COUNTIFS(Matriz_DD_Unificada!$X$2:$X$116,"No aplica",Matriz_DD_Unificada!$K$2:$K$116,"Por evaluar")</f>
        <v>0</v>
      </c>
    </row>
    <row r="27" spans="1:19">
      <c r="A27" s="4" t="s">
        <v>68</v>
      </c>
      <c r="B27" s="4">
        <f>COUNTIF(Matriz_DD_Unificada!$B$2:$B$116,"Gobernanza")</f>
        <v>10</v>
      </c>
      <c r="C27" s="4">
        <f>COUNTIFS(Matriz_DD_Unificada!$B$2:$B$116,"Gobernanza",Matriz_DD_Unificada!$K$2:$K$116,"Cumple")</f>
        <v>6</v>
      </c>
      <c r="D27" s="4">
        <f>COUNTIFS(Matriz_DD_Unificada!$B$2:$B$116,"Gobernanza",Matriz_DD_Unificada!$K$2:$K$116,"Parcial")</f>
        <v>3</v>
      </c>
      <c r="E27" s="4">
        <f>COUNTIFS(Matriz_DD_Unificada!$B$2:$B$116,"Gobernanza",Matriz_DD_Unificada!$K$2:$K$116,"No cumple")</f>
        <v>1</v>
      </c>
      <c r="F27" s="4">
        <f>COUNTIFS(Matriz_DD_Unificada!$B$2:$B$116,"Gobernanza",Matriz_DD_Unificada!$K$2:$K$116,"No aplica")</f>
        <v>0</v>
      </c>
      <c r="G27" s="4">
        <f>COUNTIFS(Matriz_DD_Unificada!$B$2:$B$116,"Gobernanza",Matriz_DD_Unificada!$K$2:$K$116,"Por evaluar")</f>
        <v>0</v>
      </c>
      <c r="H27" s="4">
        <f t="shared" si="0"/>
        <v>10</v>
      </c>
      <c r="I27" s="12">
        <f t="shared" si="1"/>
        <v>1</v>
      </c>
      <c r="J27" s="12">
        <f t="shared" si="2"/>
        <v>0.75</v>
      </c>
      <c r="K27" s="4">
        <f t="shared" si="3"/>
        <v>4</v>
      </c>
      <c r="L27" s="4">
        <f>COUNTIFS(Matriz_DD_Unificada!$B$2:$B$116,"Gobernanza",Matriz_DD_Unificada!$O$2:$O$116,"Alta",Matriz_DD_Unificada!$K$2:$K$116,"Parcial")+COUNTIFS(Matriz_DD_Unificada!$B$2:$B$116,"Gobernanza",Matriz_DD_Unificada!$O$2:$O$116,"Alta",Matriz_DD_Unificada!$K$2:$K$116,"No cumple")</f>
        <v>3</v>
      </c>
      <c r="M27" s="4"/>
      <c r="N27" s="4"/>
      <c r="O27" s="4"/>
      <c r="P27" s="4"/>
      <c r="Q27" s="4"/>
      <c r="R27" s="4"/>
      <c r="S27" s="4"/>
    </row>
    <row r="28" spans="1:19">
      <c r="A28" s="4" t="s">
        <v>598</v>
      </c>
      <c r="B28" s="4">
        <f>COUNTIF(Matriz_DD_Unificada!$B$2:$B$116,"Incidentes")</f>
        <v>4</v>
      </c>
      <c r="C28" s="4">
        <f>COUNTIFS(Matriz_DD_Unificada!$B$2:$B$116,"Incidentes",Matriz_DD_Unificada!$K$2:$K$116,"Cumple")</f>
        <v>0</v>
      </c>
      <c r="D28" s="4">
        <f>COUNTIFS(Matriz_DD_Unificada!$B$2:$B$116,"Incidentes",Matriz_DD_Unificada!$K$2:$K$116,"Parcial")</f>
        <v>3</v>
      </c>
      <c r="E28" s="4">
        <f>COUNTIFS(Matriz_DD_Unificada!$B$2:$B$116,"Incidentes",Matriz_DD_Unificada!$K$2:$K$116,"No cumple")</f>
        <v>1</v>
      </c>
      <c r="F28" s="4">
        <f>COUNTIFS(Matriz_DD_Unificada!$B$2:$B$116,"Incidentes",Matriz_DD_Unificada!$K$2:$K$116,"No aplica")</f>
        <v>0</v>
      </c>
      <c r="G28" s="4">
        <f>COUNTIFS(Matriz_DD_Unificada!$B$2:$B$116,"Incidentes",Matriz_DD_Unificada!$K$2:$K$116,"Por evaluar")</f>
        <v>0</v>
      </c>
      <c r="H28" s="4">
        <f t="shared" si="0"/>
        <v>4</v>
      </c>
      <c r="I28" s="12">
        <f t="shared" si="1"/>
        <v>1</v>
      </c>
      <c r="J28" s="12">
        <f t="shared" si="2"/>
        <v>0.375</v>
      </c>
      <c r="K28" s="4">
        <f t="shared" si="3"/>
        <v>4</v>
      </c>
      <c r="L28" s="4">
        <f>COUNTIFS(Matriz_DD_Unificada!$B$2:$B$116,"Incidentes",Matriz_DD_Unificada!$O$2:$O$116,"Alta",Matriz_DD_Unificada!$K$2:$K$116,"Parcial")+COUNTIFS(Matriz_DD_Unificada!$B$2:$B$116,"Incidentes",Matriz_DD_Unificada!$O$2:$O$116,"Alta",Matriz_DD_Unificada!$K$2:$K$116,"No cumple")</f>
        <v>2</v>
      </c>
      <c r="M28" s="4"/>
      <c r="N28" s="4"/>
      <c r="O28" s="4"/>
      <c r="P28" s="4"/>
      <c r="Q28" s="4"/>
      <c r="R28" s="4"/>
      <c r="S28" s="4"/>
    </row>
    <row r="29" spans="1:19">
      <c r="A29" s="4" t="s">
        <v>573</v>
      </c>
      <c r="B29" s="4">
        <f>COUNTIF(Matriz_DD_Unificada!$B$2:$B$116,"Monitoreo")</f>
        <v>3</v>
      </c>
      <c r="C29" s="4">
        <f>COUNTIFS(Matriz_DD_Unificada!$B$2:$B$116,"Monitoreo",Matriz_DD_Unificada!$K$2:$K$116,"Cumple")</f>
        <v>2</v>
      </c>
      <c r="D29" s="4">
        <f>COUNTIFS(Matriz_DD_Unificada!$B$2:$B$116,"Monitoreo",Matriz_DD_Unificada!$K$2:$K$116,"Parcial")</f>
        <v>1</v>
      </c>
      <c r="E29" s="4">
        <f>COUNTIFS(Matriz_DD_Unificada!$B$2:$B$116,"Monitoreo",Matriz_DD_Unificada!$K$2:$K$116,"No cumple")</f>
        <v>0</v>
      </c>
      <c r="F29" s="4">
        <f>COUNTIFS(Matriz_DD_Unificada!$B$2:$B$116,"Monitoreo",Matriz_DD_Unificada!$K$2:$K$116,"No aplica")</f>
        <v>0</v>
      </c>
      <c r="G29" s="4">
        <f>COUNTIFS(Matriz_DD_Unificada!$B$2:$B$116,"Monitoreo",Matriz_DD_Unificada!$K$2:$K$116,"Por evaluar")</f>
        <v>0</v>
      </c>
      <c r="H29" s="4">
        <f t="shared" si="0"/>
        <v>3</v>
      </c>
      <c r="I29" s="12">
        <f t="shared" si="1"/>
        <v>1</v>
      </c>
      <c r="J29" s="12">
        <f t="shared" si="2"/>
        <v>0.83333333333333337</v>
      </c>
      <c r="K29" s="4">
        <f t="shared" si="3"/>
        <v>1</v>
      </c>
      <c r="L29" s="4">
        <f>COUNTIFS(Matriz_DD_Unificada!$B$2:$B$116,"Monitoreo",Matriz_DD_Unificada!$O$2:$O$116,"Alta",Matriz_DD_Unificada!$K$2:$K$116,"Parcial")+COUNTIFS(Matriz_DD_Unificada!$B$2:$B$116,"Monitoreo",Matriz_DD_Unificada!$O$2:$O$116,"Alta",Matriz_DD_Unificada!$K$2:$K$116,"No cumple")</f>
        <v>1</v>
      </c>
      <c r="M29" s="4"/>
      <c r="N29" s="4"/>
      <c r="O29" s="4"/>
      <c r="P29" s="4"/>
      <c r="Q29" s="4"/>
      <c r="R29" s="4"/>
      <c r="S29" s="4"/>
    </row>
    <row r="30" spans="1:19">
      <c r="A30" s="4" t="s">
        <v>371</v>
      </c>
      <c r="B30" s="4">
        <f>COUNTIF(Matriz_DD_Unificada!$B$2:$B$116,"Personas")</f>
        <v>4</v>
      </c>
      <c r="C30" s="4">
        <f>COUNTIFS(Matriz_DD_Unificada!$B$2:$B$116,"Personas",Matriz_DD_Unificada!$K$2:$K$116,"Cumple")</f>
        <v>2</v>
      </c>
      <c r="D30" s="4">
        <f>COUNTIFS(Matriz_DD_Unificada!$B$2:$B$116,"Personas",Matriz_DD_Unificada!$K$2:$K$116,"Parcial")</f>
        <v>1</v>
      </c>
      <c r="E30" s="4">
        <f>COUNTIFS(Matriz_DD_Unificada!$B$2:$B$116,"Personas",Matriz_DD_Unificada!$K$2:$K$116,"No cumple")</f>
        <v>1</v>
      </c>
      <c r="F30" s="4">
        <f>COUNTIFS(Matriz_DD_Unificada!$B$2:$B$116,"Personas",Matriz_DD_Unificada!$K$2:$K$116,"No aplica")</f>
        <v>0</v>
      </c>
      <c r="G30" s="4">
        <f>COUNTIFS(Matriz_DD_Unificada!$B$2:$B$116,"Personas",Matriz_DD_Unificada!$K$2:$K$116,"Por evaluar")</f>
        <v>0</v>
      </c>
      <c r="H30" s="4">
        <f t="shared" si="0"/>
        <v>4</v>
      </c>
      <c r="I30" s="12">
        <f t="shared" si="1"/>
        <v>1</v>
      </c>
      <c r="J30" s="12">
        <f t="shared" si="2"/>
        <v>0.625</v>
      </c>
      <c r="K30" s="4">
        <f t="shared" si="3"/>
        <v>2</v>
      </c>
      <c r="L30" s="4">
        <f>COUNTIFS(Matriz_DD_Unificada!$B$2:$B$116,"Personas",Matriz_DD_Unificada!$O$2:$O$116,"Alta",Matriz_DD_Unificada!$K$2:$K$116,"Parcial")+COUNTIFS(Matriz_DD_Unificada!$B$2:$B$116,"Personas",Matriz_DD_Unificada!$O$2:$O$116,"Alta",Matriz_DD_Unificada!$K$2:$K$116,"No cumple")</f>
        <v>1</v>
      </c>
      <c r="M30" s="4"/>
      <c r="N30" s="4"/>
      <c r="O30" s="4"/>
      <c r="P30" s="4"/>
      <c r="Q30" s="4"/>
      <c r="R30" s="4"/>
      <c r="S30" s="4"/>
    </row>
    <row r="31" spans="1:19">
      <c r="A31" s="4" t="s">
        <v>354</v>
      </c>
      <c r="B31" s="4">
        <f>COUNTIF(Matriz_DD_Unificada!$B$2:$B$116,"Procesos")</f>
        <v>2</v>
      </c>
      <c r="C31" s="4">
        <f>COUNTIFS(Matriz_DD_Unificada!$B$2:$B$116,"Procesos",Matriz_DD_Unificada!$K$2:$K$116,"Cumple")</f>
        <v>0</v>
      </c>
      <c r="D31" s="4">
        <f>COUNTIFS(Matriz_DD_Unificada!$B$2:$B$116,"Procesos",Matriz_DD_Unificada!$K$2:$K$116,"Parcial")</f>
        <v>0</v>
      </c>
      <c r="E31" s="4">
        <f>COUNTIFS(Matriz_DD_Unificada!$B$2:$B$116,"Procesos",Matriz_DD_Unificada!$K$2:$K$116,"No cumple")</f>
        <v>2</v>
      </c>
      <c r="F31" s="4">
        <f>COUNTIFS(Matriz_DD_Unificada!$B$2:$B$116,"Procesos",Matriz_DD_Unificada!$K$2:$K$116,"No aplica")</f>
        <v>0</v>
      </c>
      <c r="G31" s="4">
        <f>COUNTIFS(Matriz_DD_Unificada!$B$2:$B$116,"Procesos",Matriz_DD_Unificada!$K$2:$K$116,"Por evaluar")</f>
        <v>0</v>
      </c>
      <c r="H31" s="4">
        <f t="shared" si="0"/>
        <v>2</v>
      </c>
      <c r="I31" s="12">
        <f t="shared" si="1"/>
        <v>1</v>
      </c>
      <c r="J31" s="12">
        <f t="shared" si="2"/>
        <v>0</v>
      </c>
      <c r="K31" s="4">
        <f t="shared" si="3"/>
        <v>2</v>
      </c>
      <c r="L31" s="4">
        <f>COUNTIFS(Matriz_DD_Unificada!$B$2:$B$116,"Procesos",Matriz_DD_Unificada!$O$2:$O$116,"Alta",Matriz_DD_Unificada!$K$2:$K$116,"Parcial")+COUNTIFS(Matriz_DD_Unificada!$B$2:$B$116,"Procesos",Matriz_DD_Unificada!$O$2:$O$116,"Alta",Matriz_DD_Unificada!$K$2:$K$116,"No cumple")</f>
        <v>1</v>
      </c>
      <c r="M31" s="4"/>
      <c r="N31" s="4"/>
      <c r="O31" s="4"/>
      <c r="P31" s="4"/>
      <c r="Q31" s="4"/>
      <c r="R31" s="4"/>
      <c r="S31" s="4"/>
    </row>
    <row r="32" spans="1:19">
      <c r="A32" s="4" t="s">
        <v>223</v>
      </c>
      <c r="B32" s="4">
        <f>COUNTIF(Matriz_DD_Unificada!$B$2:$B$116,"Riesgos")</f>
        <v>9</v>
      </c>
      <c r="C32" s="4">
        <f>COUNTIFS(Matriz_DD_Unificada!$B$2:$B$116,"Riesgos",Matriz_DD_Unificada!$K$2:$K$116,"Cumple")</f>
        <v>1</v>
      </c>
      <c r="D32" s="4">
        <f>COUNTIFS(Matriz_DD_Unificada!$B$2:$B$116,"Riesgos",Matriz_DD_Unificada!$K$2:$K$116,"Parcial")</f>
        <v>3</v>
      </c>
      <c r="E32" s="4">
        <f>COUNTIFS(Matriz_DD_Unificada!$B$2:$B$116,"Riesgos",Matriz_DD_Unificada!$K$2:$K$116,"No cumple")</f>
        <v>5</v>
      </c>
      <c r="F32" s="4">
        <f>COUNTIFS(Matriz_DD_Unificada!$B$2:$B$116,"Riesgos",Matriz_DD_Unificada!$K$2:$K$116,"No aplica")</f>
        <v>0</v>
      </c>
      <c r="G32" s="4">
        <f>COUNTIFS(Matriz_DD_Unificada!$B$2:$B$116,"Riesgos",Matriz_DD_Unificada!$K$2:$K$116,"Por evaluar")</f>
        <v>0</v>
      </c>
      <c r="H32" s="4">
        <f t="shared" si="0"/>
        <v>9</v>
      </c>
      <c r="I32" s="12">
        <f t="shared" si="1"/>
        <v>1</v>
      </c>
      <c r="J32" s="12">
        <f t="shared" si="2"/>
        <v>0.27777777777777779</v>
      </c>
      <c r="K32" s="4">
        <f t="shared" si="3"/>
        <v>8</v>
      </c>
      <c r="L32" s="4">
        <f>COUNTIFS(Matriz_DD_Unificada!$B$2:$B$116,"Riesgos",Matriz_DD_Unificada!$O$2:$O$116,"Alta",Matriz_DD_Unificada!$K$2:$K$116,"Parcial")+COUNTIFS(Matriz_DD_Unificada!$B$2:$B$116,"Riesgos",Matriz_DD_Unificada!$O$2:$O$116,"Alta",Matriz_DD_Unificada!$K$2:$K$116,"No cumple")</f>
        <v>7</v>
      </c>
      <c r="M32" s="4"/>
      <c r="N32" s="4"/>
      <c r="O32" s="4"/>
      <c r="P32" s="4"/>
      <c r="Q32" s="4"/>
      <c r="R32" s="4"/>
      <c r="S32" s="4"/>
    </row>
    <row r="33" spans="1:19">
      <c r="A33" s="4" t="s">
        <v>159</v>
      </c>
      <c r="B33" s="4">
        <f>COUNTIF(Matriz_DD_Unificada!$B$2:$B$116,"SGSI")</f>
        <v>7</v>
      </c>
      <c r="C33" s="4">
        <f>COUNTIFS(Matriz_DD_Unificada!$B$2:$B$116,"SGSI",Matriz_DD_Unificada!$K$2:$K$116,"Cumple")</f>
        <v>1</v>
      </c>
      <c r="D33" s="4">
        <f>COUNTIFS(Matriz_DD_Unificada!$B$2:$B$116,"SGSI",Matriz_DD_Unificada!$K$2:$K$116,"Parcial")</f>
        <v>4</v>
      </c>
      <c r="E33" s="4">
        <f>COUNTIFS(Matriz_DD_Unificada!$B$2:$B$116,"SGSI",Matriz_DD_Unificada!$K$2:$K$116,"No cumple")</f>
        <v>2</v>
      </c>
      <c r="F33" s="4">
        <f>COUNTIFS(Matriz_DD_Unificada!$B$2:$B$116,"SGSI",Matriz_DD_Unificada!$K$2:$K$116,"No aplica")</f>
        <v>0</v>
      </c>
      <c r="G33" s="4">
        <f>COUNTIFS(Matriz_DD_Unificada!$B$2:$B$116,"SGSI",Matriz_DD_Unificada!$K$2:$K$116,"Por evaluar")</f>
        <v>0</v>
      </c>
      <c r="H33" s="4">
        <f t="shared" si="0"/>
        <v>7</v>
      </c>
      <c r="I33" s="12">
        <f t="shared" si="1"/>
        <v>1</v>
      </c>
      <c r="J33" s="12">
        <f t="shared" si="2"/>
        <v>0.42857142857142855</v>
      </c>
      <c r="K33" s="4">
        <f t="shared" si="3"/>
        <v>6</v>
      </c>
      <c r="L33" s="4">
        <f>COUNTIFS(Matriz_DD_Unificada!$B$2:$B$116,"SGSI",Matriz_DD_Unificada!$O$2:$O$116,"Alta",Matriz_DD_Unificada!$K$2:$K$116,"Parcial")+COUNTIFS(Matriz_DD_Unificada!$B$2:$B$116,"SGSI",Matriz_DD_Unificada!$O$2:$O$116,"Alta",Matriz_DD_Unificada!$K$2:$K$116,"No cumple")</f>
        <v>6</v>
      </c>
      <c r="M33" s="4"/>
      <c r="N33" s="4"/>
      <c r="O33" s="4"/>
      <c r="P33" s="4"/>
      <c r="Q33" s="4"/>
      <c r="R33" s="4"/>
      <c r="S33" s="4"/>
    </row>
    <row r="34" spans="1:19">
      <c r="A34" s="4" t="s">
        <v>434</v>
      </c>
      <c r="B34" s="4">
        <f>COUNTIF(Matriz_DD_Unificada!$B$2:$B$116,"Tecnología")</f>
        <v>13</v>
      </c>
      <c r="C34" s="4">
        <f>COUNTIFS(Matriz_DD_Unificada!$B$2:$B$116,"Tecnología",Matriz_DD_Unificada!$K$2:$K$116,"Cumple")</f>
        <v>0</v>
      </c>
      <c r="D34" s="4">
        <f>COUNTIFS(Matriz_DD_Unificada!$B$2:$B$116,"Tecnología",Matriz_DD_Unificada!$K$2:$K$116,"Parcial")</f>
        <v>6</v>
      </c>
      <c r="E34" s="4">
        <f>COUNTIFS(Matriz_DD_Unificada!$B$2:$B$116,"Tecnología",Matriz_DD_Unificada!$K$2:$K$116,"No cumple")</f>
        <v>7</v>
      </c>
      <c r="F34" s="4">
        <f>COUNTIFS(Matriz_DD_Unificada!$B$2:$B$116,"Tecnología",Matriz_DD_Unificada!$K$2:$K$116,"No aplica")</f>
        <v>0</v>
      </c>
      <c r="G34" s="4">
        <f>COUNTIFS(Matriz_DD_Unificada!$B$2:$B$116,"Tecnología",Matriz_DD_Unificada!$K$2:$K$116,"Por evaluar")</f>
        <v>0</v>
      </c>
      <c r="H34" s="4">
        <f t="shared" si="0"/>
        <v>13</v>
      </c>
      <c r="I34" s="12">
        <f t="shared" si="1"/>
        <v>1</v>
      </c>
      <c r="J34" s="12">
        <f t="shared" si="2"/>
        <v>0.23076923076923078</v>
      </c>
      <c r="K34" s="4">
        <f t="shared" si="3"/>
        <v>13</v>
      </c>
      <c r="L34" s="4">
        <f>COUNTIFS(Matriz_DD_Unificada!$B$2:$B$116,"Tecnología",Matriz_DD_Unificada!$O$2:$O$116,"Alta",Matriz_DD_Unificada!$K$2:$K$116,"Parcial")+COUNTIFS(Matriz_DD_Unificada!$B$2:$B$116,"Tecnología",Matriz_DD_Unificada!$O$2:$O$116,"Alta",Matriz_DD_Unificada!$K$2:$K$116,"No cumple")</f>
        <v>11</v>
      </c>
      <c r="M34" s="4"/>
      <c r="N34" s="4"/>
      <c r="O34" s="4"/>
      <c r="P34" s="4"/>
      <c r="Q34" s="4"/>
      <c r="R34" s="4"/>
      <c r="S34" s="4"/>
    </row>
    <row r="35" spans="1:19">
      <c r="A35" s="4" t="s">
        <v>704</v>
      </c>
      <c r="B35" s="4">
        <f>COUNTIF(Matriz_DD_Unificada!$B$2:$B$116,"Terceros")</f>
        <v>11</v>
      </c>
      <c r="C35" s="4">
        <f>COUNTIFS(Matriz_DD_Unificada!$B$2:$B$116,"Terceros",Matriz_DD_Unificada!$K$2:$K$116,"Cumple")</f>
        <v>0</v>
      </c>
      <c r="D35" s="4">
        <f>COUNTIFS(Matriz_DD_Unificada!$B$2:$B$116,"Terceros",Matriz_DD_Unificada!$K$2:$K$116,"Parcial")</f>
        <v>4</v>
      </c>
      <c r="E35" s="4">
        <f>COUNTIFS(Matriz_DD_Unificada!$B$2:$B$116,"Terceros",Matriz_DD_Unificada!$K$2:$K$116,"No cumple")</f>
        <v>7</v>
      </c>
      <c r="F35" s="4">
        <f>COUNTIFS(Matriz_DD_Unificada!$B$2:$B$116,"Terceros",Matriz_DD_Unificada!$K$2:$K$116,"No aplica")</f>
        <v>0</v>
      </c>
      <c r="G35" s="4">
        <f>COUNTIFS(Matriz_DD_Unificada!$B$2:$B$116,"Terceros",Matriz_DD_Unificada!$K$2:$K$116,"Por evaluar")</f>
        <v>0</v>
      </c>
      <c r="H35" s="4">
        <f t="shared" si="0"/>
        <v>11</v>
      </c>
      <c r="I35" s="12">
        <f t="shared" si="1"/>
        <v>1</v>
      </c>
      <c r="J35" s="12">
        <f t="shared" si="2"/>
        <v>0.18181818181818182</v>
      </c>
      <c r="K35" s="4">
        <f t="shared" si="3"/>
        <v>11</v>
      </c>
      <c r="L35" s="4">
        <f>COUNTIFS(Matriz_DD_Unificada!$B$2:$B$116,"Terceros",Matriz_DD_Unificada!$O$2:$O$116,"Alta",Matriz_DD_Unificada!$K$2:$K$116,"Parcial")+COUNTIFS(Matriz_DD_Unificada!$B$2:$B$116,"Terceros",Matriz_DD_Unificada!$O$2:$O$116,"Alta",Matriz_DD_Unificada!$K$2:$K$116,"No cumple")</f>
        <v>11</v>
      </c>
      <c r="M35" s="4"/>
      <c r="N35" s="4"/>
      <c r="O35" s="4"/>
      <c r="P35" s="4"/>
      <c r="Q35" s="4"/>
      <c r="R35" s="4"/>
      <c r="S35" s="4"/>
    </row>
    <row r="36" spans="1:19">
      <c r="A36" s="4" t="s">
        <v>541</v>
      </c>
      <c r="B36" s="4">
        <f>COUNTIF(Matriz_DD_Unificada!$B$2:$B$116,"Vulnerabilidades")</f>
        <v>4</v>
      </c>
      <c r="C36" s="4">
        <f>COUNTIFS(Matriz_DD_Unificada!$B$2:$B$116,"Vulnerabilidades",Matriz_DD_Unificada!$K$2:$K$116,"Cumple")</f>
        <v>0</v>
      </c>
      <c r="D36" s="4">
        <f>COUNTIFS(Matriz_DD_Unificada!$B$2:$B$116,"Vulnerabilidades",Matriz_DD_Unificada!$K$2:$K$116,"Parcial")</f>
        <v>2</v>
      </c>
      <c r="E36" s="4">
        <f>COUNTIFS(Matriz_DD_Unificada!$B$2:$B$116,"Vulnerabilidades",Matriz_DD_Unificada!$K$2:$K$116,"No cumple")</f>
        <v>2</v>
      </c>
      <c r="F36" s="4">
        <f>COUNTIFS(Matriz_DD_Unificada!$B$2:$B$116,"Vulnerabilidades",Matriz_DD_Unificada!$K$2:$K$116,"No aplica")</f>
        <v>0</v>
      </c>
      <c r="G36" s="4">
        <f>COUNTIFS(Matriz_DD_Unificada!$B$2:$B$116,"Vulnerabilidades",Matriz_DD_Unificada!$K$2:$K$116,"Por evaluar")</f>
        <v>0</v>
      </c>
      <c r="H36" s="4">
        <f t="shared" si="0"/>
        <v>4</v>
      </c>
      <c r="I36" s="12">
        <f t="shared" si="1"/>
        <v>1</v>
      </c>
      <c r="J36" s="12">
        <f t="shared" si="2"/>
        <v>0.25</v>
      </c>
      <c r="K36" s="4">
        <f t="shared" si="3"/>
        <v>4</v>
      </c>
      <c r="L36" s="4">
        <f>COUNTIFS(Matriz_DD_Unificada!$B$2:$B$116,"Vulnerabilidades",Matriz_DD_Unificada!$O$2:$O$116,"Alta",Matriz_DD_Unificada!$K$2:$K$116,"Parcial")+COUNTIFS(Matriz_DD_Unificada!$B$2:$B$116,"Vulnerabilidades",Matriz_DD_Unificada!$O$2:$O$116,"Alta",Matriz_DD_Unificada!$K$2:$K$116,"No cumple")</f>
        <v>4</v>
      </c>
      <c r="M36" s="4"/>
      <c r="N36" s="4"/>
      <c r="O36" s="4"/>
      <c r="P36" s="4"/>
      <c r="Q36" s="4"/>
      <c r="R36" s="4"/>
      <c r="S36" s="4"/>
    </row>
    <row r="37" spans="1:19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</row>
    <row r="38" spans="1:19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</row>
    <row r="39" spans="1:1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</row>
    <row r="40" spans="1:19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</row>
    <row r="41" spans="1:19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</row>
    <row r="42" spans="1:19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</row>
    <row r="43" spans="1:19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</row>
    <row r="44" spans="1:19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</row>
    <row r="45" spans="1:19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</row>
    <row r="46" spans="1:19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</row>
    <row r="47" spans="1:19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</row>
    <row r="48" spans="1:19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</row>
    <row r="49" spans="1:1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</row>
    <row r="50" spans="1:19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</row>
    <row r="51" spans="1:19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</row>
    <row r="52" spans="1:19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</row>
    <row r="53" spans="1:19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</row>
    <row r="54" spans="1:19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</row>
    <row r="55" spans="1:19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</row>
    <row r="56" spans="1:19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</row>
    <row r="57" spans="1:19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</row>
    <row r="58" spans="1:19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</row>
    <row r="59" spans="1:1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</row>
    <row r="60" spans="1:19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</row>
  </sheetData>
  <mergeCells count="1">
    <mergeCell ref="A1:K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70"/>
  <sheetViews>
    <sheetView topLeftCell="A19" workbookViewId="0">
      <selection activeCell="C60" sqref="C60"/>
    </sheetView>
  </sheetViews>
  <sheetFormatPr baseColWidth="10" defaultColWidth="9" defaultRowHeight="14.25"/>
  <cols>
    <col min="1" max="1" width="28" customWidth="1"/>
    <col min="2" max="6" width="15" customWidth="1"/>
    <col min="8" max="8" width="35" customWidth="1"/>
    <col min="9" max="13" width="13" customWidth="1"/>
    <col min="14" max="15" width="14" customWidth="1"/>
  </cols>
  <sheetData>
    <row r="1" spans="1:15">
      <c r="A1" s="19" t="s">
        <v>1089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15">
      <c r="A2" s="20" t="s">
        <v>1090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</row>
    <row r="3" spans="1:1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38.1" customHeight="1">
      <c r="A4" s="21" t="str">
        <f>"Total requisitos" &amp; CHAR(10) &amp; TEXT(Metricas_DD!B4,"0")</f>
        <v>Total requisitos
115</v>
      </c>
      <c r="B4" s="21"/>
      <c r="C4" s="21" t="str">
        <f>"Avance evaluación" &amp; CHAR(10) &amp; TEXT(Metricas_DD!B9,"0%")</f>
        <v>Avance evaluación
100%</v>
      </c>
      <c r="D4" s="21"/>
      <c r="E4" s="21" t="str">
        <f>"Cumplimiento evaluado" &amp; CHAR(10) &amp; TEXT(Metricas_DD!B10,"0%")</f>
        <v>Cumplimiento evaluado
40%</v>
      </c>
      <c r="F4" s="21"/>
      <c r="G4" s="21" t="str">
        <f>"Cobertura documentada" &amp; CHAR(10) &amp; TEXT(Metricas_DD!B11,"0%")</f>
        <v>Cobertura documentada
40%</v>
      </c>
      <c r="H4" s="21"/>
      <c r="I4" s="21" t="str">
        <f>"Brechas abiertas" &amp; CHAR(10) &amp; TEXT(Metricas_DD!B12,"0")</f>
        <v>Brechas abiertas
78</v>
      </c>
      <c r="J4" s="21"/>
      <c r="K4" s="21" t="str">
        <f>"Brechas alta prioridad" &amp; CHAR(10) &amp; TEXT(Metricas_DD!B13,"0")</f>
        <v>Brechas alta prioridad
67</v>
      </c>
      <c r="L4" s="21"/>
      <c r="M4" s="21" t="str">
        <f>"Pendiente por evaluar" &amp; CHAR(10) &amp; TEXT(Metricas_DD!B8,"0")</f>
        <v>Pendiente por evaluar
0</v>
      </c>
      <c r="N4" s="21"/>
      <c r="O4" s="21"/>
    </row>
    <row r="5" spans="1:15" ht="38.1" customHeight="1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</row>
    <row r="6" spans="1:1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5" ht="24" customHeight="1">
      <c r="A7" s="3" t="s">
        <v>1091</v>
      </c>
      <c r="B7" s="23" t="s">
        <v>1092</v>
      </c>
      <c r="C7" s="23"/>
      <c r="D7" s="23"/>
      <c r="E7" s="23"/>
      <c r="F7" s="23"/>
      <c r="G7" s="4"/>
      <c r="H7" s="9" t="s">
        <v>1064</v>
      </c>
      <c r="I7" s="9" t="s">
        <v>1000</v>
      </c>
      <c r="J7" s="4"/>
      <c r="K7" s="4"/>
      <c r="L7" s="4"/>
      <c r="M7" s="4"/>
      <c r="N7" s="4"/>
      <c r="O7" s="4"/>
    </row>
    <row r="8" spans="1:15" ht="44.1" customHeight="1">
      <c r="A8" s="7" t="s">
        <v>1093</v>
      </c>
      <c r="B8" s="18" t="s">
        <v>1094</v>
      </c>
      <c r="C8" s="18"/>
      <c r="D8" s="18"/>
      <c r="E8" s="18"/>
      <c r="F8" s="18"/>
      <c r="G8" s="4"/>
      <c r="H8" s="4" t="str">
        <f>Metricas_DD!D4</f>
        <v>Cumple</v>
      </c>
      <c r="I8" s="4">
        <f>Metricas_DD!E4</f>
        <v>20</v>
      </c>
      <c r="J8" s="4"/>
      <c r="K8" s="4"/>
      <c r="L8" s="4"/>
      <c r="M8" s="4"/>
      <c r="N8" s="4"/>
      <c r="O8" s="4"/>
    </row>
    <row r="9" spans="1:15" ht="44.1" customHeight="1">
      <c r="A9" s="7" t="s">
        <v>1095</v>
      </c>
      <c r="B9" s="18" t="s">
        <v>1096</v>
      </c>
      <c r="C9" s="18"/>
      <c r="D9" s="18"/>
      <c r="E9" s="18"/>
      <c r="F9" s="18"/>
      <c r="G9" s="4"/>
      <c r="H9" s="4" t="str">
        <f>Metricas_DD!D5</f>
        <v>Parcial</v>
      </c>
      <c r="I9" s="4">
        <f>Metricas_DD!E5</f>
        <v>38</v>
      </c>
      <c r="J9" s="4"/>
      <c r="K9" s="4"/>
      <c r="L9" s="4"/>
      <c r="M9" s="4"/>
      <c r="N9" s="4"/>
      <c r="O9" s="4"/>
    </row>
    <row r="10" spans="1:15" ht="44.1" customHeight="1">
      <c r="A10" s="7" t="s">
        <v>1097</v>
      </c>
      <c r="B10" s="18" t="s">
        <v>1098</v>
      </c>
      <c r="C10" s="18"/>
      <c r="D10" s="18"/>
      <c r="E10" s="18"/>
      <c r="F10" s="18"/>
      <c r="G10" s="4"/>
      <c r="H10" s="4" t="str">
        <f>Metricas_DD!D6</f>
        <v>No cumple</v>
      </c>
      <c r="I10" s="4">
        <f>Metricas_DD!E6</f>
        <v>40</v>
      </c>
      <c r="J10" s="4"/>
      <c r="K10" s="4"/>
      <c r="L10" s="4"/>
      <c r="M10" s="4"/>
      <c r="N10" s="4"/>
      <c r="O10" s="4"/>
    </row>
    <row r="11" spans="1:15" ht="44.1" customHeight="1">
      <c r="A11" s="7" t="s">
        <v>1099</v>
      </c>
      <c r="B11" s="18" t="s">
        <v>1100</v>
      </c>
      <c r="C11" s="18"/>
      <c r="D11" s="18"/>
      <c r="E11" s="18"/>
      <c r="F11" s="18"/>
      <c r="G11" s="4"/>
      <c r="H11" s="4" t="str">
        <f>Metricas_DD!D7</f>
        <v>No aplica</v>
      </c>
      <c r="I11" s="4">
        <f>Metricas_DD!E7</f>
        <v>17</v>
      </c>
      <c r="J11" s="4"/>
      <c r="K11" s="4"/>
      <c r="L11" s="4"/>
      <c r="M11" s="4"/>
      <c r="N11" s="4"/>
      <c r="O11" s="4"/>
    </row>
    <row r="12" spans="1:15" ht="24.95" customHeight="1">
      <c r="A12" s="4"/>
      <c r="B12" s="4"/>
      <c r="C12" s="4"/>
      <c r="D12" s="4"/>
      <c r="E12" s="4"/>
      <c r="F12" s="4"/>
      <c r="G12" s="4"/>
      <c r="H12" s="4" t="str">
        <f>Metricas_DD!D8</f>
        <v>Por evaluar</v>
      </c>
      <c r="I12" s="4">
        <f>Metricas_DD!E8</f>
        <v>0</v>
      </c>
      <c r="J12" s="4"/>
      <c r="K12" s="4"/>
      <c r="L12" s="4"/>
      <c r="M12" s="4"/>
      <c r="N12" s="4"/>
      <c r="O12" s="4"/>
    </row>
    <row r="13" spans="1:15" ht="24.95" customHeight="1">
      <c r="A13" s="4"/>
      <c r="B13" s="4"/>
      <c r="C13" s="4"/>
      <c r="D13" s="4"/>
      <c r="E13" s="4"/>
      <c r="F13" s="4"/>
      <c r="G13" s="4"/>
      <c r="H13" s="4" t="str">
        <f>Metricas_DD!D9</f>
        <v>Revisar valor</v>
      </c>
      <c r="I13" s="4">
        <f>Metricas_DD!E9</f>
        <v>0</v>
      </c>
      <c r="J13" s="4"/>
      <c r="K13" s="4"/>
      <c r="L13" s="4"/>
      <c r="M13" s="4"/>
      <c r="N13" s="4"/>
      <c r="O13" s="4"/>
    </row>
    <row r="14" spans="1:15" ht="24.9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spans="1:15" ht="24.9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spans="1:15" ht="24.95" customHeight="1">
      <c r="A16" s="9" t="s">
        <v>6</v>
      </c>
      <c r="B16" s="9" t="s">
        <v>1065</v>
      </c>
      <c r="C16" s="9" t="s">
        <v>1002</v>
      </c>
      <c r="D16" s="9" t="s">
        <v>1003</v>
      </c>
      <c r="E16" s="9" t="s">
        <v>1004</v>
      </c>
      <c r="F16" s="9" t="s">
        <v>1006</v>
      </c>
      <c r="G16" s="4"/>
      <c r="H16" s="9" t="s">
        <v>14</v>
      </c>
      <c r="I16" s="9" t="s">
        <v>1065</v>
      </c>
      <c r="J16" s="9" t="s">
        <v>1002</v>
      </c>
      <c r="K16" s="9" t="s">
        <v>1003</v>
      </c>
      <c r="L16" s="9" t="s">
        <v>1004</v>
      </c>
      <c r="M16" s="9" t="s">
        <v>1006</v>
      </c>
      <c r="N16" s="4"/>
      <c r="O16" s="4"/>
    </row>
    <row r="17" spans="1:15" ht="24.95" customHeight="1">
      <c r="A17" s="4" t="str">
        <f>Metricas_DD!G4</f>
        <v>Ambas</v>
      </c>
      <c r="B17" s="4">
        <f>Metricas_DD!H4</f>
        <v>59</v>
      </c>
      <c r="C17" s="4">
        <f>Metricas_DD!I4</f>
        <v>15</v>
      </c>
      <c r="D17" s="4">
        <f>Metricas_DD!J4</f>
        <v>27</v>
      </c>
      <c r="E17" s="4">
        <f>Metricas_DD!K4</f>
        <v>17</v>
      </c>
      <c r="F17" s="4">
        <f>Metricas_DD!L4</f>
        <v>0</v>
      </c>
      <c r="G17" s="4"/>
      <c r="H17" s="4" t="str">
        <f>Metricas_DD!N4</f>
        <v>Alta</v>
      </c>
      <c r="I17" s="4">
        <f>Metricas_DD!O4</f>
        <v>95</v>
      </c>
      <c r="J17" s="4">
        <f>Metricas_DD!P4</f>
        <v>15</v>
      </c>
      <c r="K17" s="4">
        <f>Metricas_DD!Q4</f>
        <v>35</v>
      </c>
      <c r="L17" s="4">
        <f>Metricas_DD!R4</f>
        <v>32</v>
      </c>
      <c r="M17" s="4">
        <f>Metricas_DD!S4</f>
        <v>0</v>
      </c>
      <c r="N17" s="4"/>
      <c r="O17" s="4"/>
    </row>
    <row r="18" spans="1:15" ht="24.95" customHeight="1">
      <c r="A18" s="4" t="str">
        <f>Metricas_DD!G5</f>
        <v>SB</v>
      </c>
      <c r="B18" s="4">
        <f>Metricas_DD!H5</f>
        <v>55</v>
      </c>
      <c r="C18" s="4">
        <f>Metricas_DD!I5</f>
        <v>5</v>
      </c>
      <c r="D18" s="4">
        <f>Metricas_DD!J5</f>
        <v>10</v>
      </c>
      <c r="E18" s="4">
        <f>Metricas_DD!K5</f>
        <v>23</v>
      </c>
      <c r="F18" s="4">
        <f>Metricas_DD!L5</f>
        <v>0</v>
      </c>
      <c r="G18" s="4"/>
      <c r="H18" s="4" t="str">
        <f>Metricas_DD!N5</f>
        <v>Media</v>
      </c>
      <c r="I18" s="4">
        <f>Metricas_DD!O5</f>
        <v>20</v>
      </c>
      <c r="J18" s="4">
        <f>Metricas_DD!P5</f>
        <v>5</v>
      </c>
      <c r="K18" s="4">
        <f>Metricas_DD!Q5</f>
        <v>3</v>
      </c>
      <c r="L18" s="4">
        <f>Metricas_DD!R5</f>
        <v>8</v>
      </c>
      <c r="M18" s="4">
        <f>Metricas_DD!S5</f>
        <v>0</v>
      </c>
      <c r="N18" s="4"/>
      <c r="O18" s="4"/>
    </row>
    <row r="19" spans="1:15" ht="24.95" customHeight="1">
      <c r="A19" s="4" t="str">
        <f>Metricas_DD!G6</f>
        <v>SEPS</v>
      </c>
      <c r="B19" s="4">
        <f>Metricas_DD!H6</f>
        <v>1</v>
      </c>
      <c r="C19" s="4">
        <f>Metricas_DD!I6</f>
        <v>0</v>
      </c>
      <c r="D19" s="4">
        <f>Metricas_DD!J6</f>
        <v>1</v>
      </c>
      <c r="E19" s="4">
        <f>Metricas_DD!K6</f>
        <v>0</v>
      </c>
      <c r="F19" s="4">
        <f>Metricas_DD!L6</f>
        <v>0</v>
      </c>
      <c r="G19" s="4"/>
      <c r="H19" s="4" t="str">
        <f>Metricas_DD!N6</f>
        <v>Baja</v>
      </c>
      <c r="I19" s="4">
        <f>Metricas_DD!O6</f>
        <v>0</v>
      </c>
      <c r="J19" s="4">
        <f>Metricas_DD!P6</f>
        <v>0</v>
      </c>
      <c r="K19" s="4">
        <f>Metricas_DD!Q6</f>
        <v>0</v>
      </c>
      <c r="L19" s="4">
        <f>Metricas_DD!R6</f>
        <v>0</v>
      </c>
      <c r="M19" s="4">
        <f>Metricas_DD!S6</f>
        <v>0</v>
      </c>
      <c r="N19" s="4"/>
      <c r="O19" s="4"/>
    </row>
    <row r="20" spans="1:15" ht="24.9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spans="1:15" ht="24.9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spans="1:15" ht="24.95" customHeight="1">
      <c r="A22" s="9" t="s">
        <v>1</v>
      </c>
      <c r="B22" s="9" t="s">
        <v>1065</v>
      </c>
      <c r="C22" s="9" t="s">
        <v>1079</v>
      </c>
      <c r="D22" s="9" t="s">
        <v>1101</v>
      </c>
      <c r="E22" s="9" t="s">
        <v>1102</v>
      </c>
      <c r="F22" s="4"/>
      <c r="G22" s="4"/>
      <c r="H22" s="9" t="s">
        <v>1081</v>
      </c>
      <c r="I22" s="9" t="s">
        <v>1065</v>
      </c>
      <c r="J22" s="9" t="s">
        <v>1002</v>
      </c>
      <c r="K22" s="9" t="s">
        <v>1003</v>
      </c>
      <c r="L22" s="9" t="s">
        <v>1004</v>
      </c>
      <c r="M22" s="9" t="s">
        <v>1006</v>
      </c>
      <c r="N22" s="4"/>
      <c r="O22" s="4"/>
    </row>
    <row r="23" spans="1:15" ht="24.95" customHeight="1">
      <c r="A23" s="4" t="str">
        <f>Metricas_DD!A19</f>
        <v>Accesos</v>
      </c>
      <c r="B23" s="4">
        <f>Metricas_DD!B19</f>
        <v>4</v>
      </c>
      <c r="C23" s="4">
        <f>Metricas_DD!K19</f>
        <v>4</v>
      </c>
      <c r="D23" s="4">
        <f>Metricas_DD!L19</f>
        <v>4</v>
      </c>
      <c r="E23" s="4">
        <f>Metricas_DD!G19</f>
        <v>0</v>
      </c>
      <c r="F23" s="4"/>
      <c r="G23" s="4"/>
      <c r="H23" s="4" t="str">
        <f>Metricas_DD!N19</f>
        <v>Fase 0 - Evidencia/aplicabilidad</v>
      </c>
      <c r="I23" s="4">
        <f>Metricas_DD!O19</f>
        <v>0</v>
      </c>
      <c r="J23" s="4">
        <f>Metricas_DD!P19</f>
        <v>0</v>
      </c>
      <c r="K23" s="4">
        <f>Metricas_DD!Q19</f>
        <v>0</v>
      </c>
      <c r="L23" s="4">
        <f>Metricas_DD!R19</f>
        <v>0</v>
      </c>
      <c r="M23" s="4">
        <f>Metricas_DD!S19</f>
        <v>0</v>
      </c>
      <c r="N23" s="4"/>
      <c r="O23" s="4"/>
    </row>
    <row r="24" spans="1:15" ht="24.95" customHeight="1">
      <c r="A24" s="4" t="str">
        <f>Metricas_DD!A20</f>
        <v>Activos e información</v>
      </c>
      <c r="B24" s="4">
        <f>Metricas_DD!B20</f>
        <v>6</v>
      </c>
      <c r="C24" s="4">
        <f>Metricas_DD!K20</f>
        <v>6</v>
      </c>
      <c r="D24" s="4">
        <f>Metricas_DD!L20</f>
        <v>5</v>
      </c>
      <c r="E24" s="4">
        <f>Metricas_DD!G20</f>
        <v>0</v>
      </c>
      <c r="F24" s="4"/>
      <c r="G24" s="4"/>
      <c r="H24" s="4" t="str">
        <f>Metricas_DD!N20</f>
        <v>Fase 1 - Gobierno y SGSI</v>
      </c>
      <c r="I24" s="4">
        <f>Metricas_DD!O20</f>
        <v>11</v>
      </c>
      <c r="J24" s="4">
        <f>Metricas_DD!P20</f>
        <v>0</v>
      </c>
      <c r="K24" s="4">
        <f>Metricas_DD!Q20</f>
        <v>8</v>
      </c>
      <c r="L24" s="4">
        <f>Metricas_DD!R20</f>
        <v>3</v>
      </c>
      <c r="M24" s="4">
        <f>Metricas_DD!S20</f>
        <v>0</v>
      </c>
      <c r="N24" s="4"/>
      <c r="O24" s="4"/>
    </row>
    <row r="25" spans="1:15" ht="24.95" customHeight="1">
      <c r="A25" s="4" t="str">
        <f>Metricas_DD!A21</f>
        <v>Canales electrónicos</v>
      </c>
      <c r="B25" s="4">
        <f>Metricas_DD!B21</f>
        <v>16</v>
      </c>
      <c r="C25" s="4">
        <f>Metricas_DD!K21</f>
        <v>0</v>
      </c>
      <c r="D25" s="4">
        <f>Metricas_DD!L21</f>
        <v>0</v>
      </c>
      <c r="E25" s="4">
        <f>Metricas_DD!G21</f>
        <v>0</v>
      </c>
      <c r="F25" s="4"/>
      <c r="G25" s="4"/>
      <c r="H25" s="4" t="str">
        <f>Metricas_DD!N21</f>
        <v>Fase 2 - Riesgos y operación</v>
      </c>
      <c r="I25" s="4">
        <f>Metricas_DD!O21</f>
        <v>12</v>
      </c>
      <c r="J25" s="4">
        <f>Metricas_DD!P21</f>
        <v>0</v>
      </c>
      <c r="K25" s="4">
        <f>Metricas_DD!Q21</f>
        <v>4</v>
      </c>
      <c r="L25" s="4">
        <f>Metricas_DD!R21</f>
        <v>8</v>
      </c>
      <c r="M25" s="4">
        <f>Metricas_DD!S21</f>
        <v>0</v>
      </c>
      <c r="N25" s="4"/>
      <c r="O25" s="4"/>
    </row>
    <row r="26" spans="1:15" ht="24.95" customHeight="1">
      <c r="A26" s="4" t="str">
        <f>Metricas_DD!A22</f>
        <v>Ciberseguridad</v>
      </c>
      <c r="B26" s="4">
        <f>Metricas_DD!B22</f>
        <v>3</v>
      </c>
      <c r="C26" s="4">
        <f>Metricas_DD!K22</f>
        <v>1</v>
      </c>
      <c r="D26" s="4">
        <f>Metricas_DD!L22</f>
        <v>1</v>
      </c>
      <c r="E26" s="4">
        <f>Metricas_DD!G22</f>
        <v>0</v>
      </c>
      <c r="F26" s="4"/>
      <c r="G26" s="4"/>
      <c r="H26" s="4" t="str">
        <f>Metricas_DD!N22</f>
        <v>Fase 3 - Continuidad y terceros</v>
      </c>
      <c r="I26" s="4">
        <f>Metricas_DD!O22</f>
        <v>17</v>
      </c>
      <c r="J26" s="4">
        <f>Metricas_DD!P22</f>
        <v>0</v>
      </c>
      <c r="K26" s="4">
        <f>Metricas_DD!Q22</f>
        <v>4</v>
      </c>
      <c r="L26" s="4">
        <f>Metricas_DD!R22</f>
        <v>13</v>
      </c>
      <c r="M26" s="4">
        <f>Metricas_DD!S22</f>
        <v>0</v>
      </c>
      <c r="N26" s="4"/>
      <c r="O26" s="4"/>
    </row>
    <row r="27" spans="1:15" ht="24.95" customHeight="1">
      <c r="A27" s="4" t="str">
        <f>Metricas_DD!A23</f>
        <v>Cifrado y datos</v>
      </c>
      <c r="B27" s="4">
        <f>Metricas_DD!B23</f>
        <v>4</v>
      </c>
      <c r="C27" s="4">
        <f>Metricas_DD!K23</f>
        <v>3</v>
      </c>
      <c r="D27" s="4">
        <f>Metricas_DD!L23</f>
        <v>3</v>
      </c>
      <c r="E27" s="4">
        <f>Metricas_DD!G23</f>
        <v>0</v>
      </c>
      <c r="F27" s="4"/>
      <c r="G27" s="4"/>
      <c r="H27" s="4" t="str">
        <f>Metricas_DD!N23</f>
        <v>Fase 4 - Controles técnicos</v>
      </c>
      <c r="I27" s="4">
        <f>Metricas_DD!O23</f>
        <v>27</v>
      </c>
      <c r="J27" s="4">
        <f>Metricas_DD!P23</f>
        <v>0</v>
      </c>
      <c r="K27" s="4">
        <f>Metricas_DD!Q23</f>
        <v>14</v>
      </c>
      <c r="L27" s="4">
        <f>Metricas_DD!R23</f>
        <v>13</v>
      </c>
      <c r="M27" s="4">
        <f>Metricas_DD!S23</f>
        <v>0</v>
      </c>
      <c r="N27" s="4"/>
      <c r="O27" s="4"/>
    </row>
    <row r="28" spans="1:15" ht="24.95" customHeight="1">
      <c r="A28" s="4" t="str">
        <f>Metricas_DD!A24</f>
        <v>Contexto y alcance</v>
      </c>
      <c r="B28" s="4">
        <f>Metricas_DD!B24</f>
        <v>4</v>
      </c>
      <c r="C28" s="4">
        <f>Metricas_DD!K24</f>
        <v>1</v>
      </c>
      <c r="D28" s="4">
        <f>Metricas_DD!L24</f>
        <v>1</v>
      </c>
      <c r="E28" s="4">
        <f>Metricas_DD!G24</f>
        <v>0</v>
      </c>
      <c r="F28" s="4"/>
      <c r="G28" s="4"/>
      <c r="H28" s="4" t="str">
        <f>Metricas_DD!N24</f>
        <v>Fase 5 - Canales y datos</v>
      </c>
      <c r="I28" s="4">
        <f>Metricas_DD!O24</f>
        <v>11</v>
      </c>
      <c r="J28" s="4">
        <f>Metricas_DD!P24</f>
        <v>0</v>
      </c>
      <c r="K28" s="4">
        <f>Metricas_DD!Q24</f>
        <v>8</v>
      </c>
      <c r="L28" s="4">
        <f>Metricas_DD!R24</f>
        <v>3</v>
      </c>
      <c r="M28" s="4">
        <f>Metricas_DD!S24</f>
        <v>0</v>
      </c>
      <c r="N28" s="4"/>
      <c r="O28" s="4"/>
    </row>
    <row r="29" spans="1:15" ht="24.95" customHeight="1">
      <c r="A29" s="4" t="str">
        <f>Metricas_DD!A25</f>
        <v>Continuidad</v>
      </c>
      <c r="B29" s="4">
        <f>Metricas_DD!B25</f>
        <v>6</v>
      </c>
      <c r="C29" s="4">
        <f>Metricas_DD!K25</f>
        <v>6</v>
      </c>
      <c r="D29" s="4">
        <f>Metricas_DD!L25</f>
        <v>5</v>
      </c>
      <c r="E29" s="4">
        <f>Metricas_DD!G25</f>
        <v>0</v>
      </c>
      <c r="F29" s="4"/>
      <c r="G29" s="4"/>
      <c r="H29" s="4" t="str">
        <f>Metricas_DD!N25</f>
        <v>Mantenimiento</v>
      </c>
      <c r="I29" s="4">
        <f>Metricas_DD!O25</f>
        <v>20</v>
      </c>
      <c r="J29" s="4">
        <f>Metricas_DD!P25</f>
        <v>20</v>
      </c>
      <c r="K29" s="4">
        <f>Metricas_DD!Q25</f>
        <v>0</v>
      </c>
      <c r="L29" s="4">
        <f>Metricas_DD!R25</f>
        <v>0</v>
      </c>
      <c r="M29" s="4">
        <f>Metricas_DD!S25</f>
        <v>0</v>
      </c>
      <c r="N29" s="4"/>
      <c r="O29" s="4"/>
    </row>
    <row r="30" spans="1:15" ht="24.95" customHeight="1">
      <c r="A30" s="4" t="str">
        <f>Metricas_DD!A26</f>
        <v>Disposiciones</v>
      </c>
      <c r="B30" s="4">
        <f>Metricas_DD!B26</f>
        <v>5</v>
      </c>
      <c r="C30" s="4">
        <f>Metricas_DD!K26</f>
        <v>2</v>
      </c>
      <c r="D30" s="4">
        <f>Metricas_DD!L26</f>
        <v>1</v>
      </c>
      <c r="E30" s="4">
        <f>Metricas_DD!G26</f>
        <v>0</v>
      </c>
      <c r="F30" s="4"/>
      <c r="G30" s="4"/>
      <c r="H30" s="4" t="str">
        <f>Metricas_DD!N26</f>
        <v>No aplica</v>
      </c>
      <c r="I30" s="4">
        <f>Metricas_DD!O26</f>
        <v>17</v>
      </c>
      <c r="J30" s="4">
        <f>Metricas_DD!P26</f>
        <v>0</v>
      </c>
      <c r="K30" s="4">
        <f>Metricas_DD!Q26</f>
        <v>0</v>
      </c>
      <c r="L30" s="4">
        <f>Metricas_DD!R26</f>
        <v>0</v>
      </c>
      <c r="M30" s="4">
        <f>Metricas_DD!S26</f>
        <v>0</v>
      </c>
      <c r="N30" s="4"/>
      <c r="O30" s="4"/>
    </row>
    <row r="31" spans="1:15" ht="24.95" customHeight="1">
      <c r="A31" s="4" t="str">
        <f>Metricas_DD!A27</f>
        <v>Gobernanza</v>
      </c>
      <c r="B31" s="4">
        <f>Metricas_DD!B27</f>
        <v>10</v>
      </c>
      <c r="C31" s="4">
        <f>Metricas_DD!K27</f>
        <v>4</v>
      </c>
      <c r="D31" s="4">
        <f>Metricas_DD!L27</f>
        <v>3</v>
      </c>
      <c r="E31" s="4">
        <f>Metricas_DD!G27</f>
        <v>0</v>
      </c>
      <c r="F31" s="4"/>
      <c r="G31" s="4"/>
      <c r="H31" s="4"/>
      <c r="I31" s="4"/>
      <c r="J31" s="4"/>
      <c r="K31" s="4"/>
      <c r="L31" s="4"/>
      <c r="M31" s="4"/>
      <c r="N31" s="4"/>
      <c r="O31" s="4"/>
    </row>
    <row r="32" spans="1:15" ht="24.95" customHeight="1">
      <c r="A32" s="4" t="str">
        <f>Metricas_DD!A28</f>
        <v>Incidentes</v>
      </c>
      <c r="B32" s="4">
        <f>Metricas_DD!B28</f>
        <v>4</v>
      </c>
      <c r="C32" s="4">
        <f>Metricas_DD!K28</f>
        <v>4</v>
      </c>
      <c r="D32" s="4">
        <f>Metricas_DD!L28</f>
        <v>2</v>
      </c>
      <c r="E32" s="4">
        <f>Metricas_DD!G28</f>
        <v>0</v>
      </c>
      <c r="F32" s="4"/>
      <c r="G32" s="4"/>
      <c r="H32" s="4"/>
      <c r="I32" s="4"/>
      <c r="J32" s="4"/>
      <c r="K32" s="4"/>
      <c r="L32" s="4"/>
      <c r="M32" s="4"/>
      <c r="N32" s="4"/>
      <c r="O32" s="4"/>
    </row>
    <row r="33" spans="1:15" ht="24.95" customHeight="1">
      <c r="A33" s="4" t="str">
        <f>Metricas_DD!A29</f>
        <v>Monitoreo</v>
      </c>
      <c r="B33" s="4">
        <f>Metricas_DD!B29</f>
        <v>3</v>
      </c>
      <c r="C33" s="4">
        <f>Metricas_DD!K29</f>
        <v>1</v>
      </c>
      <c r="D33" s="4">
        <f>Metricas_DD!L29</f>
        <v>1</v>
      </c>
      <c r="E33" s="4">
        <f>Metricas_DD!G29</f>
        <v>0</v>
      </c>
      <c r="F33" s="4"/>
      <c r="G33" s="4"/>
      <c r="H33" s="4"/>
      <c r="I33" s="4"/>
      <c r="J33" s="4"/>
      <c r="K33" s="4"/>
      <c r="L33" s="4"/>
      <c r="M33" s="4"/>
      <c r="N33" s="4"/>
      <c r="O33" s="4"/>
    </row>
    <row r="34" spans="1:15" ht="24.95" customHeight="1">
      <c r="A34" s="4" t="str">
        <f>Metricas_DD!A30</f>
        <v>Personas</v>
      </c>
      <c r="B34" s="4">
        <f>Metricas_DD!B30</f>
        <v>4</v>
      </c>
      <c r="C34" s="4">
        <f>Metricas_DD!K30</f>
        <v>2</v>
      </c>
      <c r="D34" s="4">
        <f>Metricas_DD!L30</f>
        <v>1</v>
      </c>
      <c r="E34" s="4">
        <f>Metricas_DD!G30</f>
        <v>0</v>
      </c>
      <c r="F34" s="4"/>
      <c r="G34" s="4"/>
      <c r="H34" s="4"/>
      <c r="I34" s="4"/>
      <c r="J34" s="4"/>
      <c r="K34" s="4"/>
      <c r="L34" s="4"/>
      <c r="M34" s="4"/>
      <c r="N34" s="4"/>
      <c r="O34" s="4"/>
    </row>
    <row r="35" spans="1:15" ht="24.95" customHeight="1">
      <c r="A35" s="4" t="str">
        <f>Metricas_DD!A31</f>
        <v>Procesos</v>
      </c>
      <c r="B35" s="4">
        <f>Metricas_DD!B31</f>
        <v>2</v>
      </c>
      <c r="C35" s="4">
        <f>Metricas_DD!K31</f>
        <v>2</v>
      </c>
      <c r="D35" s="4">
        <f>Metricas_DD!L31</f>
        <v>1</v>
      </c>
      <c r="E35" s="4">
        <f>Metricas_DD!G31</f>
        <v>0</v>
      </c>
      <c r="F35" s="4"/>
      <c r="G35" s="4"/>
      <c r="H35" s="4"/>
      <c r="I35" s="4"/>
      <c r="J35" s="4"/>
      <c r="K35" s="4"/>
      <c r="L35" s="4"/>
      <c r="M35" s="4"/>
      <c r="N35" s="4"/>
      <c r="O35" s="4"/>
    </row>
    <row r="36" spans="1:15" ht="24.95" customHeight="1">
      <c r="A36" s="4" t="str">
        <f>Metricas_DD!A32</f>
        <v>Riesgos</v>
      </c>
      <c r="B36" s="4">
        <f>Metricas_DD!B32</f>
        <v>9</v>
      </c>
      <c r="C36" s="4">
        <f>Metricas_DD!K32</f>
        <v>8</v>
      </c>
      <c r="D36" s="4">
        <f>Metricas_DD!L32</f>
        <v>7</v>
      </c>
      <c r="E36" s="4">
        <f>Metricas_DD!G32</f>
        <v>0</v>
      </c>
      <c r="F36" s="4"/>
      <c r="G36" s="4"/>
      <c r="H36" s="4"/>
      <c r="I36" s="4"/>
      <c r="J36" s="4"/>
      <c r="K36" s="4"/>
      <c r="L36" s="4"/>
      <c r="M36" s="4"/>
      <c r="N36" s="4"/>
      <c r="O36" s="4"/>
    </row>
    <row r="37" spans="1:15" ht="24.95" customHeight="1">
      <c r="A37" s="4" t="str">
        <f>Metricas_DD!A33</f>
        <v>SGSI</v>
      </c>
      <c r="B37" s="4">
        <f>Metricas_DD!B33</f>
        <v>7</v>
      </c>
      <c r="C37" s="4">
        <f>Metricas_DD!K33</f>
        <v>6</v>
      </c>
      <c r="D37" s="4">
        <f>Metricas_DD!L33</f>
        <v>6</v>
      </c>
      <c r="E37" s="4">
        <f>Metricas_DD!G33</f>
        <v>0</v>
      </c>
      <c r="F37" s="4"/>
      <c r="G37" s="4"/>
      <c r="H37" s="4"/>
      <c r="I37" s="4"/>
      <c r="J37" s="4"/>
      <c r="K37" s="4"/>
      <c r="L37" s="4"/>
      <c r="M37" s="4"/>
      <c r="N37" s="4"/>
      <c r="O37" s="4"/>
    </row>
    <row r="38" spans="1:15" ht="24.95" customHeight="1">
      <c r="A38" s="4" t="str">
        <f>Metricas_DD!A34</f>
        <v>Tecnología</v>
      </c>
      <c r="B38" s="4">
        <f>Metricas_DD!B34</f>
        <v>13</v>
      </c>
      <c r="C38" s="4">
        <f>Metricas_DD!K34</f>
        <v>13</v>
      </c>
      <c r="D38" s="4">
        <f>Metricas_DD!L34</f>
        <v>11</v>
      </c>
      <c r="E38" s="4">
        <f>Metricas_DD!G34</f>
        <v>0</v>
      </c>
      <c r="F38" s="4"/>
      <c r="G38" s="4"/>
      <c r="H38" s="4"/>
      <c r="I38" s="4"/>
      <c r="J38" s="4"/>
      <c r="K38" s="4"/>
      <c r="L38" s="4"/>
      <c r="M38" s="4"/>
      <c r="N38" s="4"/>
      <c r="O38" s="4"/>
    </row>
    <row r="39" spans="1:15" ht="24.95" customHeight="1">
      <c r="A39" s="4" t="str">
        <f>Metricas_DD!A35</f>
        <v>Terceros</v>
      </c>
      <c r="B39" s="4">
        <f>Metricas_DD!B35</f>
        <v>11</v>
      </c>
      <c r="C39" s="4">
        <f>Metricas_DD!K35</f>
        <v>11</v>
      </c>
      <c r="D39" s="4">
        <f>Metricas_DD!L35</f>
        <v>11</v>
      </c>
      <c r="E39" s="4">
        <f>Metricas_DD!G35</f>
        <v>0</v>
      </c>
      <c r="F39" s="4"/>
      <c r="G39" s="4"/>
      <c r="H39" s="4"/>
      <c r="I39" s="4"/>
      <c r="J39" s="4"/>
      <c r="K39" s="4"/>
      <c r="L39" s="4"/>
      <c r="M39" s="4"/>
      <c r="N39" s="4"/>
      <c r="O39" s="4"/>
    </row>
    <row r="40" spans="1:15" ht="24.95" customHeight="1">
      <c r="A40" s="4" t="str">
        <f>Metricas_DD!A36</f>
        <v>Vulnerabilidades</v>
      </c>
      <c r="B40" s="4">
        <f>Metricas_DD!B36</f>
        <v>4</v>
      </c>
      <c r="C40" s="4">
        <f>Metricas_DD!K36</f>
        <v>4</v>
      </c>
      <c r="D40" s="4">
        <f>Metricas_DD!L36</f>
        <v>4</v>
      </c>
      <c r="E40" s="4">
        <f>Metricas_DD!G36</f>
        <v>0</v>
      </c>
      <c r="F40" s="4"/>
      <c r="G40" s="4"/>
      <c r="H40" s="4"/>
      <c r="I40" s="4"/>
      <c r="J40" s="4"/>
      <c r="K40" s="4"/>
      <c r="L40" s="4"/>
      <c r="M40" s="4"/>
      <c r="N40" s="4"/>
      <c r="O40" s="4"/>
    </row>
    <row r="41" spans="1:15" ht="24.95" customHeight="1">
      <c r="A41" s="22" t="s">
        <v>1103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4"/>
      <c r="O41" s="4"/>
    </row>
    <row r="42" spans="1:15" ht="24.9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</row>
    <row r="43" spans="1:15" ht="24.9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</row>
    <row r="44" spans="1:15" ht="24.9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</row>
    <row r="45" spans="1:15" ht="24.9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</row>
    <row r="46" spans="1:15" ht="24.9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</row>
    <row r="47" spans="1:15" ht="24.9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</row>
    <row r="48" spans="1:15" ht="24.9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</row>
    <row r="49" spans="1:15" ht="24.9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</row>
    <row r="50" spans="1:15" ht="24.9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</row>
    <row r="51" spans="1:15" ht="24.9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</row>
    <row r="52" spans="1:15" ht="24.9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</row>
    <row r="53" spans="1:15" ht="24.9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</row>
    <row r="54" spans="1:15" ht="24.9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</row>
    <row r="55" spans="1:15" ht="24.9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</row>
    <row r="56" spans="1:15" ht="24.9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</row>
    <row r="57" spans="1:15" ht="24.9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</row>
    <row r="58" spans="1:15" ht="24.9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</row>
    <row r="59" spans="1:15" ht="24.9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</row>
    <row r="60" spans="1:15" ht="24.9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</row>
    <row r="61" spans="1:15" ht="24.9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</row>
    <row r="62" spans="1:15" ht="24.9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</row>
    <row r="63" spans="1:15" ht="24.9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</row>
    <row r="64" spans="1:15" ht="24.9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</row>
    <row r="65" spans="1:15" ht="24.9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</row>
    <row r="66" spans="1:15" ht="24.9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</row>
    <row r="67" spans="1:15" ht="24.9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</row>
    <row r="68" spans="1:15" ht="24.9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</row>
    <row r="69" spans="1:15" ht="24.9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</row>
    <row r="70" spans="1:15" ht="24.9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</row>
  </sheetData>
  <mergeCells count="15">
    <mergeCell ref="A41:M41"/>
    <mergeCell ref="B7:F7"/>
    <mergeCell ref="B8:F8"/>
    <mergeCell ref="B9:F9"/>
    <mergeCell ref="B10:F10"/>
    <mergeCell ref="B11:F11"/>
    <mergeCell ref="A1:O1"/>
    <mergeCell ref="A2:O2"/>
    <mergeCell ref="A4:B5"/>
    <mergeCell ref="C4:D5"/>
    <mergeCell ref="E4:F5"/>
    <mergeCell ref="G4:H5"/>
    <mergeCell ref="I4:J5"/>
    <mergeCell ref="K4:L5"/>
    <mergeCell ref="M4:O5"/>
  </mergeCells>
  <conditionalFormatting sqref="C23:D40">
    <cfRule type="dataBar" priority="1">
      <dataBar>
        <cfvo type="min"/>
        <cfvo type="max"/>
        <color rgb="FFC00000"/>
      </dataBar>
    </cfRule>
    <cfRule type="dataBar" priority="2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{969D49E6-1273-E152-23CD-C68D2A4FFAB8}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69D49E6-1273-E152-23CD-C68D2A4FFAB8}">
            <x14:dataBar>
              <x14:cfvo type="min"/>
              <x14:cfvo type="max"/>
              <x14:negativeFillColor auto="1"/>
              <x14:axisColor auto="1"/>
            </x14:dataBar>
          </x14:cfRule>
          <xm:sqref>C23:D40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60"/>
  <sheetViews>
    <sheetView workbookViewId="0"/>
  </sheetViews>
  <sheetFormatPr baseColWidth="10" defaultColWidth="9" defaultRowHeight="14.25"/>
  <cols>
    <col min="1" max="1" width="28" customWidth="1"/>
    <col min="2" max="3" width="32" customWidth="1"/>
    <col min="4" max="4" width="14" customWidth="1"/>
    <col min="5" max="6" width="18" customWidth="1"/>
    <col min="7" max="12" width="30" customWidth="1"/>
  </cols>
  <sheetData>
    <row r="1" spans="1:12">
      <c r="A1" s="24" t="s">
        <v>1104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12">
      <c r="A2" s="20" t="s">
        <v>1105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  <row r="3" spans="1:1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spans="1:12" ht="30">
      <c r="A4" s="9" t="s">
        <v>1106</v>
      </c>
      <c r="B4" s="9" t="s">
        <v>1107</v>
      </c>
      <c r="C4" s="9" t="s">
        <v>1108</v>
      </c>
      <c r="D4" s="9" t="s">
        <v>1109</v>
      </c>
      <c r="E4" s="9" t="s">
        <v>1110</v>
      </c>
      <c r="F4" s="9" t="s">
        <v>1111</v>
      </c>
      <c r="G4" s="9" t="s">
        <v>1112</v>
      </c>
      <c r="H4" s="9" t="s">
        <v>1113</v>
      </c>
      <c r="I4" s="9" t="s">
        <v>13</v>
      </c>
      <c r="J4" s="9" t="s">
        <v>1114</v>
      </c>
      <c r="K4" s="9" t="s">
        <v>1115</v>
      </c>
      <c r="L4" s="9" t="s">
        <v>1116</v>
      </c>
    </row>
    <row r="5" spans="1:12" ht="42.75">
      <c r="A5" s="14" t="s">
        <v>1082</v>
      </c>
      <c r="B5" s="4" t="s">
        <v>1117</v>
      </c>
      <c r="C5" s="4" t="s">
        <v>1118</v>
      </c>
      <c r="D5" s="4">
        <f>COUNTIF(Matriz_DD_Unificada!$K$2:$K$116,"Por evaluar")</f>
        <v>0</v>
      </c>
      <c r="E5" s="4" t="s">
        <v>33</v>
      </c>
      <c r="F5" s="4" t="s">
        <v>1119</v>
      </c>
      <c r="G5" s="4" t="s">
        <v>1120</v>
      </c>
      <c r="H5" s="4" t="s">
        <v>1121</v>
      </c>
      <c r="I5" s="4" t="s">
        <v>1122</v>
      </c>
      <c r="J5" s="4" t="s">
        <v>1123</v>
      </c>
      <c r="K5" s="4" t="s">
        <v>1124</v>
      </c>
      <c r="L5" s="4" t="s">
        <v>1125</v>
      </c>
    </row>
    <row r="6" spans="1:12" ht="42.75">
      <c r="A6" s="14" t="s">
        <v>1083</v>
      </c>
      <c r="B6" s="4" t="s">
        <v>1126</v>
      </c>
      <c r="C6" s="4" t="s">
        <v>1127</v>
      </c>
      <c r="D6" s="4">
        <f>COUNTIFS(Matriz_DD_Unificada!$X$2:$X$116,"Fase 1 - Gobierno y SGSI",Matriz_DD_Unificada!$K$2:$K$116,"Parcial")+COUNTIFS(Matriz_DD_Unificada!$X$2:$X$116,"Fase 1 - Gobierno y SGSI",Matriz_DD_Unificada!$K$2:$K$116,"No cumple")</f>
        <v>11</v>
      </c>
      <c r="E6" s="4" t="s">
        <v>33</v>
      </c>
      <c r="F6" s="4" t="s">
        <v>1128</v>
      </c>
      <c r="G6" s="4" t="s">
        <v>1129</v>
      </c>
      <c r="H6" s="4" t="s">
        <v>1130</v>
      </c>
      <c r="I6" s="4" t="s">
        <v>85</v>
      </c>
      <c r="J6" s="4" t="s">
        <v>1131</v>
      </c>
      <c r="K6" s="4" t="s">
        <v>1132</v>
      </c>
      <c r="L6" s="4" t="s">
        <v>1133</v>
      </c>
    </row>
    <row r="7" spans="1:12" ht="57">
      <c r="A7" s="14" t="s">
        <v>1084</v>
      </c>
      <c r="B7" s="4" t="s">
        <v>1134</v>
      </c>
      <c r="C7" s="4" t="s">
        <v>1135</v>
      </c>
      <c r="D7" s="4">
        <f>COUNTIFS(Matriz_DD_Unificada!$X$2:$X$116,"Fase 2 - Riesgos y operación",Matriz_DD_Unificada!$K$2:$K$116,"Parcial")+COUNTIFS(Matriz_DD_Unificada!$X$2:$X$116,"Fase 2 - Riesgos y operación",Matriz_DD_Unificada!$K$2:$K$116,"No cumple")</f>
        <v>12</v>
      </c>
      <c r="E7" s="4" t="s">
        <v>1136</v>
      </c>
      <c r="F7" s="4" t="s">
        <v>1137</v>
      </c>
      <c r="G7" s="4" t="s">
        <v>1138</v>
      </c>
      <c r="H7" s="4" t="s">
        <v>1139</v>
      </c>
      <c r="I7" s="4" t="s">
        <v>1140</v>
      </c>
      <c r="J7" s="4" t="s">
        <v>1141</v>
      </c>
      <c r="K7" s="4" t="s">
        <v>1142</v>
      </c>
      <c r="L7" s="4" t="s">
        <v>1143</v>
      </c>
    </row>
    <row r="8" spans="1:12" ht="42.75">
      <c r="A8" s="14" t="s">
        <v>1085</v>
      </c>
      <c r="B8" s="4" t="s">
        <v>1144</v>
      </c>
      <c r="C8" s="4" t="s">
        <v>1145</v>
      </c>
      <c r="D8" s="4">
        <f>COUNTIFS(Matriz_DD_Unificada!$X$2:$X$116,"Fase 3 - Continuidad y terceros",Matriz_DD_Unificada!$K$2:$K$116,"Parcial")+COUNTIFS(Matriz_DD_Unificada!$X$2:$X$116,"Fase 3 - Continuidad y terceros",Matriz_DD_Unificada!$K$2:$K$116,"No cumple")</f>
        <v>17</v>
      </c>
      <c r="E8" s="4" t="s">
        <v>1136</v>
      </c>
      <c r="F8" s="4" t="s">
        <v>1146</v>
      </c>
      <c r="G8" s="4" t="s">
        <v>1147</v>
      </c>
      <c r="H8" s="4" t="s">
        <v>1148</v>
      </c>
      <c r="I8" s="4" t="s">
        <v>1149</v>
      </c>
      <c r="J8" s="4" t="s">
        <v>1150</v>
      </c>
      <c r="K8" s="4" t="s">
        <v>1151</v>
      </c>
      <c r="L8" s="4" t="s">
        <v>1152</v>
      </c>
    </row>
    <row r="9" spans="1:12" ht="57">
      <c r="A9" s="14" t="s">
        <v>1086</v>
      </c>
      <c r="B9" s="4" t="s">
        <v>1153</v>
      </c>
      <c r="C9" s="4" t="s">
        <v>1154</v>
      </c>
      <c r="D9" s="4">
        <f>COUNTIFS(Matriz_DD_Unificada!$X$2:$X$116,"Fase 4 - Controles técnicos",Matriz_DD_Unificada!$K$2:$K$116,"Parcial")+COUNTIFS(Matriz_DD_Unificada!$X$2:$X$116,"Fase 4 - Controles técnicos",Matriz_DD_Unificada!$K$2:$K$116,"No cumple")</f>
        <v>27</v>
      </c>
      <c r="E9" s="4" t="s">
        <v>1136</v>
      </c>
      <c r="F9" s="4" t="s">
        <v>1155</v>
      </c>
      <c r="G9" s="4" t="s">
        <v>1156</v>
      </c>
      <c r="H9" s="4" t="s">
        <v>1157</v>
      </c>
      <c r="I9" s="4" t="s">
        <v>1158</v>
      </c>
      <c r="J9" s="4" t="s">
        <v>1159</v>
      </c>
      <c r="K9" s="4" t="s">
        <v>1160</v>
      </c>
      <c r="L9" s="4" t="s">
        <v>1161</v>
      </c>
    </row>
    <row r="10" spans="1:12" ht="57">
      <c r="A10" s="14" t="s">
        <v>1087</v>
      </c>
      <c r="B10" s="4" t="s">
        <v>1162</v>
      </c>
      <c r="C10" s="4" t="s">
        <v>1163</v>
      </c>
      <c r="D10" s="4">
        <f>COUNTIFS(Matriz_DD_Unificada!$X$2:$X$116,"Fase 5 - Canales y datos",Matriz_DD_Unificada!$K$2:$K$116,"Parcial")+COUNTIFS(Matriz_DD_Unificada!$X$2:$X$116,"Fase 5 - Canales y datos",Matriz_DD_Unificada!$K$2:$K$116,"No cumple")</f>
        <v>11</v>
      </c>
      <c r="E10" s="4" t="s">
        <v>65</v>
      </c>
      <c r="F10" s="4" t="s">
        <v>1164</v>
      </c>
      <c r="G10" s="4" t="s">
        <v>1165</v>
      </c>
      <c r="H10" s="4" t="s">
        <v>1166</v>
      </c>
      <c r="I10" s="4" t="s">
        <v>1167</v>
      </c>
      <c r="J10" s="4" t="s">
        <v>1168</v>
      </c>
      <c r="K10" s="4" t="s">
        <v>1169</v>
      </c>
      <c r="L10" s="4" t="s">
        <v>1170</v>
      </c>
    </row>
    <row r="11" spans="1:12" ht="42.75">
      <c r="A11" s="14" t="s">
        <v>1088</v>
      </c>
      <c r="B11" s="4" t="s">
        <v>1171</v>
      </c>
      <c r="C11" s="4" t="s">
        <v>1172</v>
      </c>
      <c r="D11" s="4">
        <f>COUNTIF(Matriz_DD_Unificada!$K$2:$K$116,"Cumple")</f>
        <v>20</v>
      </c>
      <c r="E11" s="4" t="s">
        <v>65</v>
      </c>
      <c r="F11" s="4" t="s">
        <v>1173</v>
      </c>
      <c r="G11" s="4" t="s">
        <v>1174</v>
      </c>
      <c r="H11" s="4" t="s">
        <v>1175</v>
      </c>
      <c r="I11" s="4" t="s">
        <v>1176</v>
      </c>
      <c r="J11" s="4" t="s">
        <v>1177</v>
      </c>
      <c r="K11" s="4" t="s">
        <v>1178</v>
      </c>
      <c r="L11" s="4" t="s">
        <v>1179</v>
      </c>
    </row>
    <row r="12" spans="1: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spans="1:12" ht="30">
      <c r="A14" s="9" t="s">
        <v>1180</v>
      </c>
      <c r="B14" s="9" t="s">
        <v>1181</v>
      </c>
      <c r="C14" s="9" t="s">
        <v>1182</v>
      </c>
      <c r="D14" s="9" t="s">
        <v>1183</v>
      </c>
      <c r="E14" s="4"/>
      <c r="F14" s="4"/>
      <c r="G14" s="4"/>
      <c r="H14" s="4"/>
      <c r="I14" s="4"/>
      <c r="J14" s="4"/>
      <c r="K14" s="4"/>
      <c r="L14" s="4"/>
    </row>
    <row r="15" spans="1:12" ht="28.5">
      <c r="A15" s="4" t="s">
        <v>1184</v>
      </c>
      <c r="B15" s="4" t="s">
        <v>1185</v>
      </c>
      <c r="C15" s="4" t="s">
        <v>1186</v>
      </c>
      <c r="D15" s="4" t="s">
        <v>1187</v>
      </c>
      <c r="E15" s="4"/>
      <c r="F15" s="4"/>
      <c r="G15" s="4"/>
      <c r="H15" s="4"/>
      <c r="I15" s="4"/>
      <c r="J15" s="4"/>
      <c r="K15" s="4"/>
      <c r="L15" s="4"/>
    </row>
    <row r="16" spans="1:12" ht="42.75">
      <c r="A16" s="4" t="s">
        <v>1188</v>
      </c>
      <c r="B16" s="4" t="s">
        <v>1189</v>
      </c>
      <c r="C16" s="4" t="s">
        <v>1190</v>
      </c>
      <c r="D16" s="4" t="s">
        <v>1191</v>
      </c>
      <c r="E16" s="4"/>
      <c r="F16" s="4"/>
      <c r="G16" s="4"/>
      <c r="H16" s="4"/>
      <c r="I16" s="4"/>
      <c r="J16" s="4"/>
      <c r="K16" s="4"/>
      <c r="L16" s="4"/>
    </row>
    <row r="17" spans="1:12" ht="28.5">
      <c r="A17" s="4" t="s">
        <v>1192</v>
      </c>
      <c r="B17" s="4" t="s">
        <v>1193</v>
      </c>
      <c r="C17" s="4" t="s">
        <v>1194</v>
      </c>
      <c r="D17" s="4" t="s">
        <v>1195</v>
      </c>
      <c r="E17" s="4"/>
      <c r="F17" s="4"/>
      <c r="G17" s="4"/>
      <c r="H17" s="4"/>
      <c r="I17" s="4"/>
      <c r="J17" s="4"/>
      <c r="K17" s="4"/>
      <c r="L17" s="4"/>
    </row>
    <row r="18" spans="1:12" ht="28.5">
      <c r="A18" s="4" t="s">
        <v>1196</v>
      </c>
      <c r="B18" s="4" t="s">
        <v>1197</v>
      </c>
      <c r="C18" s="4" t="s">
        <v>44</v>
      </c>
      <c r="D18" s="4" t="s">
        <v>1198</v>
      </c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</row>
  </sheetData>
  <mergeCells count="2">
    <mergeCell ref="A1:L1"/>
    <mergeCell ref="A2:L2"/>
  </mergeCells>
  <conditionalFormatting sqref="D5:D11">
    <cfRule type="dataBar" priority="1">
      <dataBar>
        <cfvo type="min"/>
        <cfvo type="max"/>
        <color rgb="FF5B9BD5"/>
      </dataBar>
    </cfRule>
    <cfRule type="dataBar" priority="2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{10A99761-DFEA-2D70-FB0B-95CAF8AA9A8A}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0A99761-DFEA-2D70-FB0B-95CAF8AA9A8A}">
            <x14:dataBar>
              <x14:cfvo type="min"/>
              <x14:cfvo type="max"/>
              <x14:negativeFillColor auto="1"/>
              <x14:axisColor auto="1"/>
            </x14:dataBar>
          </x14:cfRule>
          <xm:sqref>D5:D11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Matriz_DD_Unificada</vt:lpstr>
      <vt:lpstr>Resumen_Ejecutivo</vt:lpstr>
      <vt:lpstr>Guia_de_Uso</vt:lpstr>
      <vt:lpstr>Control_de_Revision</vt:lpstr>
      <vt:lpstr>Fuentes_y_Alcance</vt:lpstr>
      <vt:lpstr>Metricas_DD</vt:lpstr>
      <vt:lpstr>Dashboard_Decision</vt:lpstr>
      <vt:lpstr>Plan_Cumplimiento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Edison Chicaiza</cp:lastModifiedBy>
  <dcterms:created xsi:type="dcterms:W3CDTF">2026-06-17T17:03:11Z</dcterms:created>
  <dcterms:modified xsi:type="dcterms:W3CDTF">2026-06-17T19:31:09Z</dcterms:modified>
</cp:coreProperties>
</file>